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 &amp; Assumptions" sheetId="1" state="visible" r:id="rId3"/>
    <sheet name="Standalone Summary" sheetId="2" state="visible" r:id="rId4"/>
    <sheet name="Deal B Pro Forma" sheetId="3" state="visible" r:id="rId5"/>
    <sheet name="Deal C Pro Forma" sheetId="4" state="visible" r:id="rId6"/>
    <sheet name="Side-by-Side" sheetId="5" state="visible" r:id="rId7"/>
    <sheet name="Decision Scorecard" sheetId="6" state="visible" r:id="rId8"/>
    <sheet name="Stress Tes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<sst xmlns="http://schemas.openxmlformats.org/spreadsheetml/2006/main" count="1003" uniqueCount="574">
  <si>
    <t xml:space="preserve">MERIDIAN TRUST BANK — M&amp;A MERGER MODEL</t>
  </si>
  <si>
    <t xml:space="preserve">Project Northfield (Bank B) vs. Project Harborview (Bank C)  |  Board decision support</t>
  </si>
  <si>
    <t xml:space="preserve">Anchor year FY2025 (YE 31 Dec 2025)  |  CAD $ millions unless noted  |  Jurisdiction: Canada (fictional)</t>
  </si>
  <si>
    <t xml:space="preserve">FICTIONAL / SIMULATED DATA — All entities, financial figures, and events in this document are entirely fictional, created for illustrative/educational simulation purposes. They do not represent any real institution, and nothing here is financial, investment, or M&amp;A advice.</t>
  </si>
  <si>
    <t xml:space="preserve">LEGEND &amp; MODEL CONVENTIONS</t>
  </si>
  <si>
    <t xml:space="preserve">Blue text = hardcoded input / scenario lever taken from the case source spec</t>
  </si>
  <si>
    <t xml:space="preserve">Black text = formula computed on this sheet</t>
  </si>
  <si>
    <t xml:space="preserve">Green text = link to another worksheet in this workbook</t>
  </si>
  <si>
    <t xml:space="preserve">Yellow fill = headline output the board should read first</t>
  </si>
  <si>
    <t xml:space="preserve">All FY2025 anchor figures and all deal terms are taken verbatim from the case spec and are NOT re-derived.</t>
  </si>
  <si>
    <t xml:space="preserve">Forward-projection drivers (FY2026E-FY2028E) are model assumptions, disclosed in full below.</t>
  </si>
  <si>
    <t xml:space="preserve">Every derived figure in this workbook is a live formula — no hardcoded results.</t>
  </si>
  <si>
    <t xml:space="preserve">GLOBAL ASSUMPTIONS</t>
  </si>
  <si>
    <t xml:space="preserve">Item</t>
  </si>
  <si>
    <t xml:space="preserve">Value</t>
  </si>
  <si>
    <t xml:space="preserve">Source / note</t>
  </si>
  <si>
    <t xml:space="preserve">Tax rate</t>
  </si>
  <si>
    <t xml:space="preserve">Case spec — applies to all synergy / EPS / return math</t>
  </si>
  <si>
    <t xml:space="preserve">Meridian internal CET1 target</t>
  </si>
  <si>
    <t xml:space="preserve">Case spec s.5 — the trigger for sizing an equity raise</t>
  </si>
  <si>
    <t xml:space="preserve">Regulatory CET1 minimum incl. conservation buffer</t>
  </si>
  <si>
    <t xml:space="preserve">4.5% Pillar 1 + 2.5% CCB (fictional OSFI analog)</t>
  </si>
  <si>
    <t xml:space="preserve">Meridian share price ($/share)</t>
  </si>
  <si>
    <t xml:space="preserve">1.6x book on 3,300 equity / 120mm shares (case spec s.2)</t>
  </si>
  <si>
    <t xml:space="preserve">Meridian shares outstanding (mm)</t>
  </si>
  <si>
    <t xml:space="preserve">Case spec s.2</t>
  </si>
  <si>
    <t xml:space="preserve">Short-term reinvestment / opportunity cost rate</t>
  </si>
  <si>
    <t xml:space="preserve">MODEL ASSUMPTION — applied symmetrically to cash deployed and to new-equity proceeds held</t>
  </si>
  <si>
    <t xml:space="preserve">Terminal / exit P/E multiple (x)</t>
  </si>
  <si>
    <t xml:space="preserve">MODEL ASSUMPTION — set below Meridian's own 12.8x; used only in the deal IRR</t>
  </si>
  <si>
    <t xml:space="preserve">Credit conversion factor on undrawn card lines</t>
  </si>
  <si>
    <t xml:space="preserve">Basel III finalisation, unconditionally cancellable lines (spec s.0)</t>
  </si>
  <si>
    <t xml:space="preserve">Risk weight — revolver</t>
  </si>
  <si>
    <t xml:space="preserve">Case spec s.0</t>
  </si>
  <si>
    <t xml:space="preserve">Risk weight — transactor</t>
  </si>
  <si>
    <t xml:space="preserve">Interchange rate on card purchase volume</t>
  </si>
  <si>
    <t xml:space="preserve">FORWARD-PROJECTION DRIVERS (FY2026E - FY2028E) — MODEL ASSUMPTIONS</t>
  </si>
  <si>
    <t xml:space="preserve">Driver (annual growth)</t>
  </si>
  <si>
    <t xml:space="preserve">Bank A</t>
  </si>
  <si>
    <t xml:space="preserve">Bank B</t>
  </si>
  <si>
    <t xml:space="preserve">Bank C</t>
  </si>
  <si>
    <t xml:space="preserve">Basis</t>
  </si>
  <si>
    <t xml:space="preserve">Interest income and interest expense</t>
  </si>
  <si>
    <t xml:space="preserve">A: 4.5% asset CAGR (spec s.2). B: 24% historical receivable growth deliberately more than halved post-close as Meridian tightens underwriting. C: 2.5-3.0% asset CAGR (spec s.4).</t>
  </si>
  <si>
    <t xml:space="preserve">Non-interest income</t>
  </si>
  <si>
    <t xml:space="preserve">Tracks the earning book</t>
  </si>
  <si>
    <t xml:space="preserve">Provision for credit losses</t>
  </si>
  <si>
    <t xml:space="preserve">B is set deliberately ABOVE its receivable growth, per spec s.3: 'provision expense growing faster than receivables'</t>
  </si>
  <si>
    <t xml:space="preserve">Non-interest expense</t>
  </si>
  <si>
    <t xml:space="preserve">A: positive operating leverage delivers the 5-6% net income growth in spec s.2</t>
  </si>
  <si>
    <t xml:space="preserve">Gross card receivables and undrawn lines</t>
  </si>
  <si>
    <t xml:space="preserve">A and C per spec s.2 / s.4; B moderated post-close</t>
  </si>
  <si>
    <t xml:space="preserve">DEAL B — MERIDIAN ACQUIRES NORTHFIELD CARD BANK (all cash)</t>
  </si>
  <si>
    <t xml:space="preserve">Term</t>
  </si>
  <si>
    <t xml:space="preserve">Purchase price ($mm, all cash)</t>
  </si>
  <si>
    <t xml:space="preserve">Case spec s.5</t>
  </si>
  <si>
    <t xml:space="preserve">Northfield standalone implied value ($mm)</t>
  </si>
  <si>
    <t xml:space="preserve">1.47x FY2025 book (spec s.3)</t>
  </si>
  <si>
    <t xml:space="preserve">Share funded with new senior debt</t>
  </si>
  <si>
    <t xml:space="preserve">New senior debt ($mm)</t>
  </si>
  <si>
    <t xml:space="preserve">Meridian cash / excess capital deployed ($mm)</t>
  </si>
  <si>
    <t xml:space="preserve">Senior debt coupon</t>
  </si>
  <si>
    <t xml:space="preserve">Cost synergies as % of target FY2025 opex</t>
  </si>
  <si>
    <t xml:space="preserve">Cost synergies run-rate ($mm)</t>
  </si>
  <si>
    <t xml:space="preserve">Cost synergy phase-in — Year 1</t>
  </si>
  <si>
    <t xml:space="preserve">Cost synergy phase-in — Year 2</t>
  </si>
  <si>
    <t xml:space="preserve">Cost synergy phase-in — Year 3</t>
  </si>
  <si>
    <t xml:space="preserve">Revenue synergy — broker funding replaced ($mm)</t>
  </si>
  <si>
    <t xml:space="preserve">Case spec s.5: cheaper Meridian deposits substitute for Northfield broker funding</t>
  </si>
  <si>
    <t xml:space="preserve">Revenue synergy — funding spread saved</t>
  </si>
  <si>
    <t xml:space="preserve">Case spec s.5 (~150bps)</t>
  </si>
  <si>
    <t xml:space="preserve">Funding substitution benefit ($mm)</t>
  </si>
  <si>
    <t xml:space="preserve">Revenue synergy — cross-sell uplift on combined card fee income</t>
  </si>
  <si>
    <t xml:space="preserve">Combined FY2025 interchange &amp; card fee income ($mm)</t>
  </si>
  <si>
    <t xml:space="preserve">Cross-sell interchange benefit ($mm)</t>
  </si>
  <si>
    <t xml:space="preserve">TOTAL revenue synergies run-rate ($mm)</t>
  </si>
  <si>
    <t xml:space="preserve">Revenue synergy phase-in — Year 1</t>
  </si>
  <si>
    <t xml:space="preserve">Spec s.5 says 'phased in by Year 2' — modelled as half in Year 1, full from Year 2</t>
  </si>
  <si>
    <t xml:space="preserve">Revenue synergy phase-in — Year 2</t>
  </si>
  <si>
    <t xml:space="preserve">Revenue synergy phase-in — Year 3</t>
  </si>
  <si>
    <t xml:space="preserve">One-time integration / restructuring cost ($mm pretax, Year 1)</t>
  </si>
  <si>
    <t xml:space="preserve">Case spec s.5 — tech integration plus compliance remediation given the regulatory history</t>
  </si>
  <si>
    <t xml:space="preserve">Day-1 IFRS 9 provisioning gross-up ($mm)</t>
  </si>
  <si>
    <t xml:space="preserve">Case spec s.5 — allowance build beyond the allowance Northfield already carries</t>
  </si>
  <si>
    <t xml:space="preserve">DEAL C — MERIDIAN ACQUIRES HARBORVIEW COMMUNITY BANK (all cash)</t>
  </si>
  <si>
    <t xml:space="preserve">Harborview standalone implied value ($mm)</t>
  </si>
  <si>
    <t xml:space="preserve">1.10x FY2025 book (spec s.4)</t>
  </si>
  <si>
    <t xml:space="preserve">Case spec s.5 — lower rate reflecting the lower-risk deal</t>
  </si>
  <si>
    <t xml:space="preserve">Branch and back-office overlap consolidates faster than tech/risk integration (spec s.5)</t>
  </si>
  <si>
    <t xml:space="preserve">Revenue synergy — uplift to combined card purchase volume</t>
  </si>
  <si>
    <t xml:space="preserve">Case spec s.5: Harborview's underwriting model cross-sold across a slice of Meridian's prime deposit base, within two years</t>
  </si>
  <si>
    <t xml:space="preserve">Combined FY2025 card purchase volume ($mm)</t>
  </si>
  <si>
    <t xml:space="preserve">Incremental interchange from cross-sell ($mm)</t>
  </si>
  <si>
    <t xml:space="preserve">Revenue synergy — blended funding-cost improvement</t>
  </si>
  <si>
    <t xml:space="preserve">Case spec s.5 (~10bps), sourced from Harborview's 6,300 chequing/savings base</t>
  </si>
  <si>
    <t xml:space="preserve">Combined interest-bearing liabilities ($mm)</t>
  </si>
  <si>
    <t xml:space="preserve">Funding-cost benefit ($mm)</t>
  </si>
  <si>
    <t xml:space="preserve">Spec s.5 says 'within 2 years' — modelled as half in Year 1, full from Year 2</t>
  </si>
  <si>
    <t xml:space="preserve">STRESS SCENARIO ASSUMPTIONS (case spec s.7)</t>
  </si>
  <si>
    <t xml:space="preserve">Parameter</t>
  </si>
  <si>
    <t xml:space="preserve">Net charge-off uplift — ACQUIRED card portfolios (B and C)</t>
  </si>
  <si>
    <t xml:space="preserve">Case spec s.7: +200bps</t>
  </si>
  <si>
    <t xml:space="preserve">90+ DPD uplift — ACQUIRED card portfolios</t>
  </si>
  <si>
    <t xml:space="preserve">Case spec s.7: +150bps</t>
  </si>
  <si>
    <t xml:space="preserve">Net charge-off uplift — Meridian's existing card book</t>
  </si>
  <si>
    <t xml:space="preserve">Case spec s.7: +50bps; prime and transactor-heavy, so it flexes less</t>
  </si>
  <si>
    <t xml:space="preserve">EAD migration — share of undrawn lines drawn under stress</t>
  </si>
  <si>
    <t xml:space="preserve">MODEL OVERLAY: distressed borrowers draw down before they default, converting exposure from a 10% CCF to on-balance-sheet at 75% RW</t>
  </si>
  <si>
    <t xml:space="preserve">Stress year modelled: FY2026E (Year 1 post-close), the most binding point for pro forma capital. The stress is applied to the card portfolios only; every other line is held at base case.</t>
  </si>
  <si>
    <t xml:space="preserve">STANDALONE SUMMARY — FY2025 ANCHOR FINANCIALS AND FORWARD PROJECTIONS</t>
  </si>
  <si>
    <t xml:space="preserve">Bank A Meridian Trust  |  Bank B Northfield Card  |  Bank C Harborview Community</t>
  </si>
  <si>
    <t xml:space="preserve">Every FY2025 figure is a case-spec anchor entered verbatim (blue). Everything else is computed.</t>
  </si>
  <si>
    <t xml:space="preserve">FY2025 BALANCE SHEET ($mm)</t>
  </si>
  <si>
    <t xml:space="preserve">Line item</t>
  </si>
  <si>
    <t xml:space="preserve">Bank A
Meridian Trust</t>
  </si>
  <si>
    <t xml:space="preserve">Bank B
Northfield Card</t>
  </si>
  <si>
    <t xml:space="preserve">Bank C
Harborview Comm.</t>
  </si>
  <si>
    <t xml:space="preserve">Note</t>
  </si>
  <si>
    <t xml:space="preserve">Cash &amp; equivalents</t>
  </si>
  <si>
    <t xml:space="preserve">Investment securities</t>
  </si>
  <si>
    <t xml:space="preserve">Residential mortgages</t>
  </si>
  <si>
    <t xml:space="preserve">Commercial &amp; business loans</t>
  </si>
  <si>
    <t xml:space="preserve">Credit card receivables (net)</t>
  </si>
  <si>
    <t xml:space="preserve">Other consumer loans</t>
  </si>
  <si>
    <t xml:space="preserve">Other assets</t>
  </si>
  <si>
    <t xml:space="preserve">Total assets</t>
  </si>
  <si>
    <t xml:space="preserve">Total deposits</t>
  </si>
  <si>
    <t xml:space="preserve">A: 21,000 chequing/savings + 11,500 term/GIC.  B: broker / direct-to-consumer.  C: 6,300 chequing/savings + 1,900 term.</t>
  </si>
  <si>
    <t xml:space="preserve">Wholesale borrowings / securitization debt</t>
  </si>
  <si>
    <t xml:space="preserve">Other liabilities</t>
  </si>
  <si>
    <t xml:space="preserve">Total liabilities</t>
  </si>
  <si>
    <t xml:space="preserve">Common equity</t>
  </si>
  <si>
    <t xml:space="preserve">Total liabilities &amp; equity</t>
  </si>
  <si>
    <t xml:space="preserve">Check: total assets less total liabilities &amp; equity</t>
  </si>
  <si>
    <t xml:space="preserve">Must be nil — confirms the spec's balance sheets tie out</t>
  </si>
  <si>
    <t xml:space="preserve">Memo: interest-bearing liabilities (deposits + wholesale)</t>
  </si>
  <si>
    <t xml:space="preserve">FY2025 INCOME STATEMENT ($mm)</t>
  </si>
  <si>
    <t xml:space="preserve">Interest income</t>
  </si>
  <si>
    <t xml:space="preserve">Interest expense</t>
  </si>
  <si>
    <t xml:space="preserve">Net interest income</t>
  </si>
  <si>
    <t xml:space="preserve">Interchange &amp; card fee income</t>
  </si>
  <si>
    <t xml:space="preserve">B: 15,300 purchase volume x 1.5% interchange, plus fees</t>
  </si>
  <si>
    <t xml:space="preserve">Other fee income</t>
  </si>
  <si>
    <t xml:space="preserve">Total revenue</t>
  </si>
  <si>
    <t xml:space="preserve">Non-interest expense (opex)</t>
  </si>
  <si>
    <t xml:space="preserve">Pre-tax income</t>
  </si>
  <si>
    <t xml:space="preserve">Income tax</t>
  </si>
  <si>
    <t xml:space="preserve">Net income</t>
  </si>
  <si>
    <t xml:space="preserve">FY2025 CAPITAL &amp; REGULATORY RATIOS</t>
  </si>
  <si>
    <t xml:space="preserve">CET1 capital ($mm)</t>
  </si>
  <si>
    <t xml:space="preserve">Risk-weighted assets ($mm)</t>
  </si>
  <si>
    <t xml:space="preserve">CET1 ratio</t>
  </si>
  <si>
    <t xml:space="preserve">Leverage ratio (as reported)</t>
  </si>
  <si>
    <t xml:space="preserve">Spec-given; the leverage exposure measure differs from balance-sheet assets</t>
  </si>
  <si>
    <t xml:space="preserve">Implied regulatory deductions (equity less CET1)</t>
  </si>
  <si>
    <t xml:space="preserve">Existing goodwill, intangibles and other CET1 deductions</t>
  </si>
  <si>
    <t xml:space="preserve">RWA density (RWA / total assets)</t>
  </si>
  <si>
    <t xml:space="preserve">Bank B's density reflects a revolver-heavy book sitting in the 75% RW bucket</t>
  </si>
  <si>
    <t xml:space="preserve">FY2025 CREDIT CARD PORTFOLIO DETAIL</t>
  </si>
  <si>
    <t xml:space="preserve">Active accounts (000s)</t>
  </si>
  <si>
    <t xml:space="preserve">Gross receivables ($mm)</t>
  </si>
  <si>
    <t xml:space="preserve">Allowance for credit losses ($mm)</t>
  </si>
  <si>
    <t xml:space="preserve">Net receivables ($mm)</t>
  </si>
  <si>
    <t xml:space="preserve">Allowance coverage (% of gross)</t>
  </si>
  <si>
    <t xml:space="preserve">B carries 4.6% — already elevated, and still short of the Day-1 gross-up an acquirer must book</t>
  </si>
  <si>
    <t xml:space="preserve">Average balance per account ($)</t>
  </si>
  <si>
    <t xml:space="preserve">Revolve rate</t>
  </si>
  <si>
    <t xml:space="preserve">Average utilization</t>
  </si>
  <si>
    <t xml:space="preserve">Total committed line exposure ($mm)</t>
  </si>
  <si>
    <t xml:space="preserve">Undrawn lines ($mm)</t>
  </si>
  <si>
    <t xml:space="preserve">The customer's drawdown option — contingent exposure the acquirer also buys</t>
  </si>
  <si>
    <t xml:space="preserve">Annual purchase volume ($mm)</t>
  </si>
  <si>
    <t xml:space="preserve">Posted APR</t>
  </si>
  <si>
    <t xml:space="preserve">30+ DPD</t>
  </si>
  <si>
    <t xml:space="preserve">90+ DPD</t>
  </si>
  <si>
    <t xml:space="preserve">Net charge-off rate</t>
  </si>
  <si>
    <t xml:space="preserve">IFRS 9 Stage 1 (% of gross)</t>
  </si>
  <si>
    <t xml:space="preserve">IFRS 9 Stage 2 (% of gross)</t>
  </si>
  <si>
    <t xml:space="preserve">IFRS 9 Stage 3 (% of gross)</t>
  </si>
  <si>
    <t xml:space="preserve">Blended 12-month PD</t>
  </si>
  <si>
    <t xml:space="preserve">Loss given default (LGD)</t>
  </si>
  <si>
    <t xml:space="preserve">Implied 12-month expected loss (PD x LGD x gross, $mm)</t>
  </si>
  <si>
    <t xml:space="preserve">RWA carried on undrawn lines (undrawn x 10% CCF x 75% RW, $mm)</t>
  </si>
  <si>
    <t xml:space="preserve">Only a tenth of the committed exposure is capitalised until it converts — see the Stress Test tab</t>
  </si>
  <si>
    <t xml:space="preserve">FY2025 KEY RATIOS</t>
  </si>
  <si>
    <t xml:space="preserve">Ratio</t>
  </si>
  <si>
    <t xml:space="preserve">Return on equity</t>
  </si>
  <si>
    <t xml:space="preserve">B's 38.8% is a function of a very thin equity base, not of superior underwriting</t>
  </si>
  <si>
    <t xml:space="preserve">Return on assets</t>
  </si>
  <si>
    <t xml:space="preserve">Efficiency ratio (opex / revenue)</t>
  </si>
  <si>
    <t xml:space="preserve">Net interest margin (as reported)</t>
  </si>
  <si>
    <t xml:space="preserve">Spec-given; B is measured on receivables, A and C on earning assets</t>
  </si>
  <si>
    <t xml:space="preserve">Earnings per share ($) — Bank A</t>
  </si>
  <si>
    <t xml:space="preserve">Book value per share ($) — Bank A</t>
  </si>
  <si>
    <t xml:space="preserve">Market capitalisation ($mm) — Bank A</t>
  </si>
  <si>
    <t xml:space="preserve">Price / book (x) — Bank A</t>
  </si>
  <si>
    <t xml:space="preserve">Price / earnings (x) — Bank A</t>
  </si>
  <si>
    <t xml:space="preserve">THREE-YEAR TREND — THE DILIGENCE SIGNAL (FY2023A - FY2025A)</t>
  </si>
  <si>
    <t xml:space="preserve">Metric</t>
  </si>
  <si>
    <t xml:space="preserve">FY2023A</t>
  </si>
  <si>
    <t xml:space="preserve">FY2024A</t>
  </si>
  <si>
    <t xml:space="preserve">FY2025A</t>
  </si>
  <si>
    <t xml:space="preserve">Direction</t>
  </si>
  <si>
    <t xml:space="preserve">Bank A — Meridian Trust</t>
  </si>
  <si>
    <t xml:space="preserve">Gross card receivables ($mm)</t>
  </si>
  <si>
    <t xml:space="preserve">Improving</t>
  </si>
  <si>
    <t xml:space="preserve">Stable and strong</t>
  </si>
  <si>
    <t xml:space="preserve">Bank B — Northfield Card</t>
  </si>
  <si>
    <t xml:space="preserve">Spec s.3: ~24% CAGR</t>
  </si>
  <si>
    <t xml:space="preserve">~23% per year</t>
  </si>
  <si>
    <t xml:space="preserve">Provision for credit losses ($mm)</t>
  </si>
  <si>
    <t xml:space="preserve">~+34% per year — outrunning the book</t>
  </si>
  <si>
    <t xml:space="preserve">PCL as % of gross receivables</t>
  </si>
  <si>
    <t xml:space="preserve">RISING — credit cost is growing faster than the asset generating it</t>
  </si>
  <si>
    <t xml:space="preserve">WORSENING (spec s.3)</t>
  </si>
  <si>
    <t xml:space="preserve">DECLINING — RWA growth outpacing internal capital generation (spec s.3)</t>
  </si>
  <si>
    <t xml:space="preserve">Bank C — Harborview Community</t>
  </si>
  <si>
    <t xml:space="preserve">Stable and excellent</t>
  </si>
  <si>
    <t xml:space="preserve">Stable and high</t>
  </si>
  <si>
    <t xml:space="preserve">Bank B is the only one of the three whose credit quality AND capital ratio both deteriorated over the trend window, while its book grew fastest. That combination — growth outrunning risk systems — is the strongest diligence argument in this case, and it is invisible in the FY2025 snapshot alone.</t>
  </si>
  <si>
    <t xml:space="preserve">THREE-YEAR FORWARD PROJECTION — STANDALONE BASIS ($mm)</t>
  </si>
  <si>
    <t xml:space="preserve">FY2026E</t>
  </si>
  <si>
    <t xml:space="preserve">FY2027E</t>
  </si>
  <si>
    <t xml:space="preserve">FY2028E</t>
  </si>
  <si>
    <t xml:space="preserve">Bank A — Meridian Trust (standalone, no deal)</t>
  </si>
  <si>
    <t xml:space="preserve">Gross card receivables</t>
  </si>
  <si>
    <t xml:space="preserve">Undrawn card lines</t>
  </si>
  <si>
    <t xml:space="preserve">Bank B — Northfield Card (standalone basis, before synergies)</t>
  </si>
  <si>
    <t xml:space="preserve">Bank C — Harborview Community (standalone basis, before synergies)</t>
  </si>
  <si>
    <t xml:space="preserve">Memo: Bank B provision expense as % of gross receivables</t>
  </si>
  <si>
    <t xml:space="preserve">Keeps rising post-close under the modelled drivers — the deterioration is not assumed away</t>
  </si>
  <si>
    <t xml:space="preserve">Memo: Bank A standalone EPS ($)</t>
  </si>
  <si>
    <t xml:space="preserve">The accretion / dilution benchmark used on both deal sheets</t>
  </si>
  <si>
    <t xml:space="preserve">Memo: Bank A standalone net income growth</t>
  </si>
  <si>
    <t xml:space="preserve">Spec s.2 guidance is 5-6% per year</t>
  </si>
  <si>
    <t xml:space="preserve">DEAL B PRO FORMA — PROJECT NORTHFIELD</t>
  </si>
  <si>
    <t xml:space="preserve">Meridian Trust Bank acquires Northfield Card Bank — all-cash acquisition</t>
  </si>
  <si>
    <t xml:space="preserve">Purchase accounting, pro forma balance sheet, capital walk and three-year accretion / dilution ($mm unless noted)</t>
  </si>
  <si>
    <t xml:space="preserve">A.  PURCHASE PRICE, VALUATION AND GOODWILL</t>
  </si>
  <si>
    <t xml:space="preserve">Amount</t>
  </si>
  <si>
    <t xml:space="preserve">Derivation / note</t>
  </si>
  <si>
    <t xml:space="preserve">Purchase price (all cash)</t>
  </si>
  <si>
    <t xml:space="preserve">Target common equity at close (book)</t>
  </si>
  <si>
    <t xml:space="preserve">Northfield Card Bank FY2025 book equity</t>
  </si>
  <si>
    <t xml:space="preserve">Less: Day-1 IFRS 9 provisioning gross-up</t>
  </si>
  <si>
    <t xml:space="preserve">Acquisition-accounting allowance build beyond the allowance already carried</t>
  </si>
  <si>
    <t xml:space="preserve">Net identifiable assets acquired</t>
  </si>
  <si>
    <t xml:space="preserve">GOODWILL CREATED</t>
  </si>
  <si>
    <t xml:space="preserve">Purchase price less (target book equity less the Day-1 provision build)</t>
  </si>
  <si>
    <t xml:space="preserve">Implied price / book (x)</t>
  </si>
  <si>
    <t xml:space="preserve">Implied price / FY2025 earnings (x)</t>
  </si>
  <si>
    <t xml:space="preserve">Premium to standalone implied value</t>
  </si>
  <si>
    <t xml:space="preserve">Standalone value per case spec</t>
  </si>
  <si>
    <t xml:space="preserve">FY2025 earnings yield on purchase price</t>
  </si>
  <si>
    <t xml:space="preserve">Compare against the after-tax cost of the acquisition debt below — the gap is what drives accretion</t>
  </si>
  <si>
    <t xml:space="preserve">After-tax cost of acquisition debt</t>
  </si>
  <si>
    <t xml:space="preserve">Spread of earnings yield over after-tax debt cost</t>
  </si>
  <si>
    <t xml:space="preserve">B.  SOURCES AND USES OF FUNDS</t>
  </si>
  <si>
    <t xml:space="preserve">% of total</t>
  </si>
  <si>
    <t xml:space="preserve">Source: new senior debt</t>
  </si>
  <si>
    <t xml:space="preserve">Source: Meridian cash / excess capital</t>
  </si>
  <si>
    <t xml:space="preserve">Total sources</t>
  </si>
  <si>
    <t xml:space="preserve">Use: cash consideration to target shareholders</t>
  </si>
  <si>
    <t xml:space="preserve">Total uses</t>
  </si>
  <si>
    <t xml:space="preserve">Memo: one-time integration cost, expensed in Year 1 (pretax)</t>
  </si>
  <si>
    <t xml:space="preserve">C.  PRO FORMA COMBINED BALANCE SHEET AT CLOSE ($mm)</t>
  </si>
  <si>
    <t xml:space="preserve">Bank A
FY2025A</t>
  </si>
  <si>
    <t xml:space="preserve">Northfield Card Bank
FY2025A</t>
  </si>
  <si>
    <t xml:space="preserve">Deal
adjustments</t>
  </si>
  <si>
    <t xml:space="preserve">Pro forma
combined</t>
  </si>
  <si>
    <t xml:space="preserve">Adjustment note</t>
  </si>
  <si>
    <t xml:space="preserve">Less the cash consideration funded from Meridian's own funds; plus any new equity proceeds</t>
  </si>
  <si>
    <t xml:space="preserve">Day-1 IFRS 9 provisioning gross-up</t>
  </si>
  <si>
    <t xml:space="preserve">Goodwill created on acquisition</t>
  </si>
  <si>
    <t xml:space="preserve">A straight CET1 deduction — see the capital walk below</t>
  </si>
  <si>
    <t xml:space="preserve">New senior acquisition debt raised</t>
  </si>
  <si>
    <t xml:space="preserve">Target equity is eliminated in purchase accounting; acquirer equity is unchanged apart from any new issuance</t>
  </si>
  <si>
    <t xml:space="preserve">Check: pro forma assets less liabilities &amp; equity</t>
  </si>
  <si>
    <t xml:space="preserve">Must be nil</t>
  </si>
  <si>
    <t xml:space="preserve">D.  PRO FORMA CAPITAL WALK AND EQUITY RAISE SIZING</t>
  </si>
  <si>
    <t xml:space="preserve">Bank A standalone CET1 capital</t>
  </si>
  <si>
    <t xml:space="preserve">Less: goodwill created on acquisition (full CET1 deduction)</t>
  </si>
  <si>
    <t xml:space="preserve">All-cash structure — no shares are issued, so nothing offsets the deduction</t>
  </si>
  <si>
    <t xml:space="preserve">Pro forma CET1 capital — BEFORE any equity raise</t>
  </si>
  <si>
    <t xml:space="preserve">Bank A standalone RWA</t>
  </si>
  <si>
    <t xml:space="preserve">Plus: Northfield Card Bank RWA acquired</t>
  </si>
  <si>
    <t xml:space="preserve">Pro forma combined RWA</t>
  </si>
  <si>
    <t xml:space="preserve">PRO FORMA CET1 RATIO — before equity raise</t>
  </si>
  <si>
    <t xml:space="preserve">Memo: Bank A standalone CET1 ratio, pre-deal</t>
  </si>
  <si>
    <t xml:space="preserve">Change in CET1 ratio versus standalone (bps)</t>
  </si>
  <si>
    <t xml:space="preserve">CET1 capital required to hold the target</t>
  </si>
  <si>
    <t xml:space="preserve">Shortfall to target</t>
  </si>
  <si>
    <t xml:space="preserve">MINIMUM COMMON EQUITY RAISE REQUIRED</t>
  </si>
  <si>
    <t xml:space="preserve">Nil if the pro forma ratio already clears the 11.0% target</t>
  </si>
  <si>
    <t xml:space="preserve">Issue price ($/share)</t>
  </si>
  <si>
    <t xml:space="preserve">Issuance at the current market price; no underwriting discount modelled</t>
  </si>
  <si>
    <t xml:space="preserve">New shares issued (mm)</t>
  </si>
  <si>
    <t xml:space="preserve">Existing shares outstanding (mm)</t>
  </si>
  <si>
    <t xml:space="preserve">Pro forma shares outstanding (mm)</t>
  </si>
  <si>
    <t xml:space="preserve">Ownership dilution to existing shareholders</t>
  </si>
  <si>
    <t xml:space="preserve">Raise as % of Meridian market capitalisation</t>
  </si>
  <si>
    <t xml:space="preserve">The execution-risk gauge for the issuance itself</t>
  </si>
  <si>
    <t xml:space="preserve">Pro forma CET1 capital — AFTER equity raise</t>
  </si>
  <si>
    <t xml:space="preserve">PRO FORMA CET1 RATIO — after equity raise</t>
  </si>
  <si>
    <t xml:space="preserve">Headroom over the 7.0% regulatory minimum, before any raise (bps)</t>
  </si>
  <si>
    <t xml:space="preserve">Memo: pro forma CET1 ratio if goodwill were nil</t>
  </si>
  <si>
    <t xml:space="preserve">Isolates how much of the capital hit is unavoidable RWA absorption rather than the price paid</t>
  </si>
  <si>
    <t xml:space="preserve">Memo: equity raise still required even at a nil-goodwill price</t>
  </si>
  <si>
    <t xml:space="preserve">The floor on the raise, set by RWA alone — no purchase price can go below it</t>
  </si>
  <si>
    <t xml:space="preserve">Memo: share of consideration that would have to be STOCK to hold 11.0% without a separate raise</t>
  </si>
  <si>
    <t xml:space="preserve">Newly issued acquirer stock counts as CET1 and offsets the goodwill deduction</t>
  </si>
  <si>
    <t xml:space="preserve">E.  THREE-YEAR PRO FORMA INCOME STATEMENT ($mm)</t>
  </si>
  <si>
    <t xml:space="preserve">FY2026E
Year 1</t>
  </si>
  <si>
    <t xml:space="preserve">FY2027E
Year 2</t>
  </si>
  <si>
    <t xml:space="preserve">FY2028E
Year 3</t>
  </si>
  <si>
    <t xml:space="preserve">Bank A standalone contribution</t>
  </si>
  <si>
    <t xml:space="preserve">Bank A pre-tax income</t>
  </si>
  <si>
    <t xml:space="preserve">Northfield Card Bank contribution (standalone basis, before synergies)</t>
  </si>
  <si>
    <t xml:space="preserve">Northfield Card Bank pre-tax income</t>
  </si>
  <si>
    <t xml:space="preserve">Combined pre-tax income before deal effects</t>
  </si>
  <si>
    <t xml:space="preserve">Deal effects</t>
  </si>
  <si>
    <t xml:space="preserve">Cost synergies realised</t>
  </si>
  <si>
    <t xml:space="preserve">Run-rate multiplied by the phase-in factor</t>
  </si>
  <si>
    <t xml:space="preserve">Revenue synergies realised</t>
  </si>
  <si>
    <t xml:space="preserve">Integration &amp; restructuring costs</t>
  </si>
  <si>
    <t xml:space="preserve">Expensed in Year 1</t>
  </si>
  <si>
    <t xml:space="preserve">Interest on new acquisition debt</t>
  </si>
  <si>
    <t xml:space="preserve">Foregone interest on Meridian cash deployed</t>
  </si>
  <si>
    <t xml:space="preserve">Opportunity cost of the equity-funded slice of the consideration</t>
  </si>
  <si>
    <t xml:space="preserve">Interest earned on new equity proceeds</t>
  </si>
  <si>
    <t xml:space="preserve">Proceeds held in liquid assets pending deployment</t>
  </si>
  <si>
    <t xml:space="preserve">PRO FORMA PRE-TAX INCOME</t>
  </si>
  <si>
    <t xml:space="preserve">PRO FORMA NET INCOME</t>
  </si>
  <si>
    <t xml:space="preserve">F.  EPS ACCRETION / (DILUTION)</t>
  </si>
  <si>
    <t xml:space="preserve">The existing 120mm plus any shares issued in the capital raise sized above</t>
  </si>
  <si>
    <t xml:space="preserve">Pro forma EPS ($)</t>
  </si>
  <si>
    <t xml:space="preserve">Bank A standalone EPS ($)</t>
  </si>
  <si>
    <t xml:space="preserve">EPS accretion / (dilution) — $</t>
  </si>
  <si>
    <t xml:space="preserve">EPS ACCRETION / (DILUTION) — %</t>
  </si>
  <si>
    <t xml:space="preserve">Memo: the same deal with NO equity raise (capital target breached — shown for reference only)</t>
  </si>
  <si>
    <t xml:space="preserve">Pro forma net income excluding the raise proceeds</t>
  </si>
  <si>
    <t xml:space="preserve">Pro forma EPS on the existing 120mm shares ($)</t>
  </si>
  <si>
    <t xml:space="preserve">EPS accretion / (dilution) — %</t>
  </si>
  <si>
    <t xml:space="preserve">Memo: pre-deal tangible book value per share ($)</t>
  </si>
  <si>
    <t xml:space="preserve">Memo: pro forma tangible book value per share ($)</t>
  </si>
  <si>
    <t xml:space="preserve">Tangible book value per share accretion / (dilution)</t>
  </si>
  <si>
    <t xml:space="preserve">G.  RETURNS ON INVESTED CAPITAL</t>
  </si>
  <si>
    <t xml:space="preserve">Deal-attributable pre-tax earnings (target plus synergies, before financing)</t>
  </si>
  <si>
    <t xml:space="preserve">Deal-attributable after-tax earnings</t>
  </si>
  <si>
    <t xml:space="preserve">Invested capital: purchase price plus after-tax integration cost</t>
  </si>
  <si>
    <t xml:space="preserve">Invested capital including the equity raise the deal forces</t>
  </si>
  <si>
    <t xml:space="preserve">The honest denominator — all capital the group must commit because of the transaction</t>
  </si>
  <si>
    <t xml:space="preserve">Year-3 ROIC on purchase price plus integration</t>
  </si>
  <si>
    <t xml:space="preserve">Year-3 ROIC on total capital committed</t>
  </si>
  <si>
    <t xml:space="preserve">Deal IRR cash flows (Year 0 / 1 / 2 / 3)</t>
  </si>
  <si>
    <t xml:space="preserve">Year 0 = total capital committed; Years 1-3 = deal-attributable after-tax earnings; Year 3 includes the exit value</t>
  </si>
  <si>
    <t xml:space="preserve">THREE-YEAR DEAL IRR</t>
  </si>
  <si>
    <t xml:space="preserve">DEAL C PRO FORMA — PROJECT HARBORVIEW</t>
  </si>
  <si>
    <t xml:space="preserve">Meridian Trust Bank acquires Harborview Community Bank — all-cash acquisition</t>
  </si>
  <si>
    <t xml:space="preserve">Harborview Community Bank FY2025 book equity</t>
  </si>
  <si>
    <t xml:space="preserve">Harborview Community Bank
FY2025A</t>
  </si>
  <si>
    <t xml:space="preserve">Plus: Harborview Community Bank RWA acquired</t>
  </si>
  <si>
    <t xml:space="preserve">Harborview Community Bank contribution (standalone basis, before synergies)</t>
  </si>
  <si>
    <t xml:space="preserve">Harborview Community Bank pre-tax income</t>
  </si>
  <si>
    <t xml:space="preserve">SIDE-BY-SIDE COMPARISON — DEAL B versus DEAL C</t>
  </si>
  <si>
    <t xml:space="preserve">Every figure below is a live link to the Deal B and Deal C pro forma sheets</t>
  </si>
  <si>
    <t xml:space="preserve">CAD $ millions unless noted. 'Favours' marks which deal the metric argues for.</t>
  </si>
  <si>
    <t xml:space="preserve">TRANSACTION TERMS</t>
  </si>
  <si>
    <t xml:space="preserve">Deal B
Northfield Card</t>
  </si>
  <si>
    <t xml:space="preserve">Deal C
Harborview Comm.</t>
  </si>
  <si>
    <t xml:space="preserve">Favours</t>
  </si>
  <si>
    <t xml:space="preserve">Comment</t>
  </si>
  <si>
    <t xml:space="preserve">Purchase price ($mm)</t>
  </si>
  <si>
    <t xml:space="preserve">Northfield is priced at a far higher multiple of book</t>
  </si>
  <si>
    <t xml:space="preserve">But far cheaper on earnings — Northfield runs a 38.8% ROE</t>
  </si>
  <si>
    <t xml:space="preserve">New senior acquisition debt ($mm)</t>
  </si>
  <si>
    <t xml:space="preserve">GOODWILL CREATED ($mm)</t>
  </si>
  <si>
    <t xml:space="preserve">Deal C</t>
  </si>
  <si>
    <t xml:space="preserve">Deducted from CET1 in full — this is the capital cost of the premium</t>
  </si>
  <si>
    <t xml:space="preserve">One-time integration cost ($mm pretax)</t>
  </si>
  <si>
    <t xml:space="preserve">Earnings yield on purchase price less after-tax debt cost</t>
  </si>
  <si>
    <t xml:space="preserve">Deal B</t>
  </si>
  <si>
    <t xml:space="preserve">The arithmetic source of accretion in a debt-funded cash deal</t>
  </si>
  <si>
    <t xml:space="preserve">SCALE AND STRATEGIC IMPACT</t>
  </si>
  <si>
    <t xml:space="preserve">Target total assets ($mm)</t>
  </si>
  <si>
    <t xml:space="preserve">Target gross card receivables ($mm)</t>
  </si>
  <si>
    <t xml:space="preserve">Meridian's own book is only 1,190</t>
  </si>
  <si>
    <t xml:space="preserve">Combined gross card receivables ($mm)</t>
  </si>
  <si>
    <t xml:space="preserve">Uplift to Meridian's card book (x)</t>
  </si>
  <si>
    <t xml:space="preserve">The core strategic test: does the deal actually scale card lending?</t>
  </si>
  <si>
    <t xml:space="preserve">Target active card accounts (000s)</t>
  </si>
  <si>
    <t xml:space="preserve">Target annual card purchase volume ($mm)</t>
  </si>
  <si>
    <t xml:space="preserve">Target posted APR</t>
  </si>
  <si>
    <t xml:space="preserve">Target revolve rate</t>
  </si>
  <si>
    <t xml:space="preserve">High revolve means high yield AND high adverse selection — the same fact cuts both ways</t>
  </si>
  <si>
    <t xml:space="preserve">Target committed but undrawn card lines ($mm)</t>
  </si>
  <si>
    <t xml:space="preserve">Contingent exposure acquired — the drawdown option the borrower holds</t>
  </si>
  <si>
    <t xml:space="preserve">Target deposits acquired ($mm)</t>
  </si>
  <si>
    <t xml:space="preserve">Harborview's are branch-sourced chequing/savings; Northfield's are broker and direct-to-consumer</t>
  </si>
  <si>
    <t xml:space="preserve">CAPITAL IMPACT</t>
  </si>
  <si>
    <t xml:space="preserve">Pro forma combined RWA ($mm)</t>
  </si>
  <si>
    <t xml:space="preserve">Meridian standalone is 13.50%; the internal target is 11.00%</t>
  </si>
  <si>
    <t xml:space="preserve">Change versus standalone CET1 (bps)</t>
  </si>
  <si>
    <t xml:space="preserve">Headroom over the 7.0% regulatory minimum, before raise (bps)</t>
  </si>
  <si>
    <t xml:space="preserve">MINIMUM EQUITY RAISE TO RESTORE THE 11.0% TARGET ($mm)</t>
  </si>
  <si>
    <t xml:space="preserve">The decisive capital number in this decision</t>
  </si>
  <si>
    <t xml:space="preserve">Equity-issuance execution risk</t>
  </si>
  <si>
    <t xml:space="preserve">Pro forma CET1 ratio — after equity raise</t>
  </si>
  <si>
    <t xml:space="preserve">Shows how much of the hit is unavoidable RWA absorption rather than the price paid</t>
  </si>
  <si>
    <t xml:space="preserve">Memo: equity raise still required even at a nil-goodwill price ($mm)</t>
  </si>
  <si>
    <t xml:space="preserve">For Deal B this floor is positive — no achievable price clears the target without new capital</t>
  </si>
  <si>
    <t xml:space="preserve">Memo: stock consideration needed to self-fund the deal</t>
  </si>
  <si>
    <t xml:space="preserve">The all-cash structure is precisely what forces the separate raise</t>
  </si>
  <si>
    <t xml:space="preserve">EARNINGS AND RETURNS</t>
  </si>
  <si>
    <t xml:space="preserve">Revenue synergies run-rate ($mm)</t>
  </si>
  <si>
    <t xml:space="preserve">Pro forma net income — FY2026E ($mm)</t>
  </si>
  <si>
    <t xml:space="preserve">Pro forma net income — FY2028E ($mm)</t>
  </si>
  <si>
    <t xml:space="preserve">Pro forma EPS — FY2026E ($)</t>
  </si>
  <si>
    <t xml:space="preserve">Pro forma EPS — FY2028E ($)</t>
  </si>
  <si>
    <t xml:space="preserve">EPS accretion / (dilution) — Year 1</t>
  </si>
  <si>
    <t xml:space="preserve">EPS accretion / (dilution) — Year 2</t>
  </si>
  <si>
    <t xml:space="preserve">EPS ACCRETION / (DILUTION) — YEAR 3</t>
  </si>
  <si>
    <t xml:space="preserve">Year-3 ROIC on TOTAL capital committed</t>
  </si>
  <si>
    <t xml:space="preserve">Includes the equity raise the deal forces</t>
  </si>
  <si>
    <t xml:space="preserve">Three-year deal IRR</t>
  </si>
  <si>
    <t xml:space="preserve">CREDIT AND CONDUCT RISK OF THE ACQUIRED BOOK</t>
  </si>
  <si>
    <t xml:space="preserve">Net charge-off rate — FY2025</t>
  </si>
  <si>
    <t xml:space="preserve">Net charge-off rate — FY2023</t>
  </si>
  <si>
    <t xml:space="preserve">90+ DPD — FY2025</t>
  </si>
  <si>
    <t xml:space="preserve">90+ DPD — FY2023</t>
  </si>
  <si>
    <t xml:space="preserve">THREE-YEAR CHANGE IN 90+ DPD (bps)</t>
  </si>
  <si>
    <t xml:space="preserve">Northfield's credit quality deteriorated while it grew; Harborview's did not move</t>
  </si>
  <si>
    <t xml:space="preserve">Three-year change in net charge-off rate (bps)</t>
  </si>
  <si>
    <t xml:space="preserve">Three-year change in CET1 ratio (bps)</t>
  </si>
  <si>
    <t xml:space="preserve">Northfield was already running out of capital before the deal was contemplated</t>
  </si>
  <si>
    <t xml:space="preserve">Loss given default</t>
  </si>
  <si>
    <t xml:space="preserve">Expected loss rate (PD x LGD)</t>
  </si>
  <si>
    <t xml:space="preserve">Stage 2 is the leading indicator — balances already flagged for a significant increase in credit risk</t>
  </si>
  <si>
    <t xml:space="preserve">Allowance coverage of gross receivables</t>
  </si>
  <si>
    <t xml:space="preserve">Integration cost as % of purchase price</t>
  </si>
  <si>
    <t xml:space="preserve">Open conduct-regulator matter</t>
  </si>
  <si>
    <t xml:space="preserve">Yes — 2024 CLI consent / affordability remediation</t>
  </si>
  <si>
    <t xml:space="preserve">None</t>
  </si>
  <si>
    <t xml:space="preserve">Case spec s.3 records the Northfield matter as closed via remediation but not fully retired</t>
  </si>
  <si>
    <t xml:space="preserve">DECISION SCORECARD — WEIGHTED EVALUATION</t>
  </si>
  <si>
    <t xml:space="preserve">Framework per case spec section 6. Scores run 1 (poor) to 5 (excellent).</t>
  </si>
  <si>
    <t xml:space="preserve">Every score is anchored to a computed figure reproduced in the evidence block below — nothing here is asserted without a number behind it.</t>
  </si>
  <si>
    <t xml:space="preserve">A.  EVIDENCE BASE — THE COMPUTED NUMBERS BEHIND EACH SCORE</t>
  </si>
  <si>
    <t xml:space="preserve">Evidence metric</t>
  </si>
  <si>
    <t xml:space="preserve">Source tab</t>
  </si>
  <si>
    <t xml:space="preserve">Uplift to combined card receivables (x)</t>
  </si>
  <si>
    <t xml:space="preserve">Side-by-Side</t>
  </si>
  <si>
    <t xml:space="preserve">Card accounts acquired (000s)</t>
  </si>
  <si>
    <t xml:space="preserve">Standalone Summary</t>
  </si>
  <si>
    <t xml:space="preserve">Year-3 EPS accretion / (dilution)</t>
  </si>
  <si>
    <t xml:space="preserve">Deal pro forma tabs</t>
  </si>
  <si>
    <t xml:space="preserve">Pro forma CET1 ratio before any raise</t>
  </si>
  <si>
    <t xml:space="preserve">Equity raise required ($mm)</t>
  </si>
  <si>
    <t xml:space="preserve">Equity raise as % of market capitalisation</t>
  </si>
  <si>
    <t xml:space="preserve">Acquired book net charge-off rate</t>
  </si>
  <si>
    <t xml:space="preserve">Three-year change in acquired book 90+ DPD (bps)</t>
  </si>
  <si>
    <t xml:space="preserve">Standalone Summary trend block</t>
  </si>
  <si>
    <t xml:space="preserve">Acquired book expected loss rate (PD x LGD)</t>
  </si>
  <si>
    <t xml:space="preserve">Cover &amp; Assumptions</t>
  </si>
  <si>
    <t xml:space="preserve">B.  WEIGHTED SCORECARD</t>
  </si>
  <si>
    <t xml:space="preserve">Dimension</t>
  </si>
  <si>
    <t xml:space="preserve">Weight</t>
  </si>
  <si>
    <t xml:space="preserve">Bank B
score</t>
  </si>
  <si>
    <t xml:space="preserve">Bank C
score</t>
  </si>
  <si>
    <t xml:space="preserve">Bank B
weighted</t>
  </si>
  <si>
    <t xml:space="preserve">Bank C
weighted</t>
  </si>
  <si>
    <t xml:space="preserve">Basis for the score (evidence-linked)</t>
  </si>
  <si>
    <t xml:space="preserve">Strategic fit / scale impact on the card lending goal</t>
  </si>
  <si>
    <t xml:space="preserve">Deal B multiplies the combined card book about 7.3x and adds 2.85mm accounts at a 22.99% APR — it delivers the board's mandate in a single step. Deal C lifts the book only about 1.3x; it brings a clean underwriting model and a low-cost deposit base, but it does not scale card lending.</t>
  </si>
  <si>
    <t xml:space="preserve">Financial accretion (EPS accretion / dilution by Year 3)</t>
  </si>
  <si>
    <t xml:space="preserve">Both deals are accretive. Deal B is far more so, because a 38.8% ROE book bought at roughly 4.7x earnings and 70% debt-funded is arithmetically powerful. Deal C's accretion is solid but leans heavily on the 10bps blended funding synergy, which is the single largest diligence item on that side.</t>
  </si>
  <si>
    <t xml:space="preserve">Risk-adjusted return (deal IRR / NPV net of credit risk)</t>
  </si>
  <si>
    <t xml:space="preserve">In the base case Deal B's ROIC on committed capital is well ahead. Under the section-7 recession stress the two converge to within a few tens of basis points (see Stress Test, section F) — Deal B's excess return is a credit-risk premium rather than durable alpha, and its variance is several times Deal C's.</t>
  </si>
  <si>
    <t xml:space="preserve">Capital impact (pro forma CET1, equity raise need)</t>
  </si>
  <si>
    <t xml:space="preserve">Deal B takes pro forma CET1 to about 7.4% — some 358bps below the internal target and barely above the 7.0% regulatory floor — forcing a raise of roughly $1.05bn, about 20% of market capitalisation. Deal C dips about 69bps below target and can be self-cured out of retained earnings within roughly two quarters.</t>
  </si>
  <si>
    <t xml:space="preserve">Credit / asset quality risk (delinquency trend, PD/LGD, provisioning volatility)</t>
  </si>
  <si>
    <t xml:space="preserve">Northfield: NCO 4.6% and rising, 90+ DPD 2.4% (up 90bps in three years), PD 5.4%, LGD 86%, Stage 3 6.5%, plus 12,350 of undrawn lines. Harborview: NCO 1.2% flat, 90+ DPD 0.5% flat, PD 1.4%, LGD 78%, Stage 3 1.0%.</t>
  </si>
  <si>
    <t xml:space="preserve">Regulatory / conduct and integration risk</t>
  </si>
  <si>
    <t xml:space="preserve">Northfield carries an unretired 2024 CLI consent and affordability remediation, plus a $180mm integration bill (10.9% of price) covering both technology and compliance. Harborview is a clean branch and back-office overlap at $95mm (9.0% of price).</t>
  </si>
  <si>
    <t xml:space="preserve">WEIGHTED TOTAL</t>
  </si>
  <si>
    <t xml:space="preserve">Cross-check via SUMPRODUCT</t>
  </si>
  <si>
    <t xml:space="preserve">SCORECARD WINNER</t>
  </si>
  <si>
    <t xml:space="preserve">Weighted-score margin</t>
  </si>
  <si>
    <t xml:space="preserve">C.  IS THE CONCLUSION SENSITIVE TO A SINGLE JUDGEMENT CALL?</t>
  </si>
  <si>
    <t xml:space="preserve">Test</t>
  </si>
  <si>
    <t xml:space="preserve">Result</t>
  </si>
  <si>
    <t xml:space="preserve">Weighted score on the two GROWTH dimensions only (strategic fit + accretion)</t>
  </si>
  <si>
    <t xml:space="preserve">Weighted score on the four RISK dimensions only (risk-adj. return, capital, credit, conduct)</t>
  </si>
  <si>
    <t xml:space="preserve">Break-even: the capital-impact score Deal B would need to draw level overall</t>
  </si>
  <si>
    <t xml:space="preserve">Compare against the maximum possible score of 5</t>
  </si>
  <si>
    <t xml:space="preserve">Break-even: the credit-risk score Deal B would need to draw level overall</t>
  </si>
  <si>
    <t xml:space="preserve">Even scoring Deal B a perfect 5 on capital impact — which the computed 7.4% pro forma CET1 flatly contradicts — would not overturn the result on these weights. The conclusion does not rest on any single judgement call.</t>
  </si>
  <si>
    <t xml:space="preserve">STRESS TEST — RECESSION SCENARIO (case spec section 7)</t>
  </si>
  <si>
    <t xml:space="preserve">Card NCO +200bps and 90+ DPD +150bps on the acquired portfolios; +50bps NCO on Meridian's existing prime book</t>
  </si>
  <si>
    <t xml:space="preserve">Stress year modelled: FY2026E, Year 1 post-close and the most binding point for pro forma capital. $mm unless noted.</t>
  </si>
  <si>
    <t xml:space="preserve">A.  STRESS PARAMETERS</t>
  </si>
  <si>
    <t xml:space="preserve">Source</t>
  </si>
  <si>
    <t xml:space="preserve">Net charge-off uplift — acquired card portfolios</t>
  </si>
  <si>
    <t xml:space="preserve">Case spec s.7</t>
  </si>
  <si>
    <t xml:space="preserve">90+ DPD uplift — acquired card portfolios</t>
  </si>
  <si>
    <t xml:space="preserve">Case spec s.7 — prime and transactor-heavy, so it flexes less</t>
  </si>
  <si>
    <t xml:space="preserve">Model overlay: distressed borrowers draw before they default</t>
  </si>
  <si>
    <t xml:space="preserve">Mechanics. The charge-off uplift flows straight to provision expense. The 90+ DPD uplift moves balances into IFRS 9 Stage 3, where the allowance is a lifetime expected credit loss — modelled as the migrated balance multiplied by the book's own LGD. The EAD overlay converts undrawn commitments carried at a 10% CCF into on-balance-sheet exposure at a 75% risk weight.</t>
  </si>
  <si>
    <t xml:space="preserve">B.  INCREMENTAL PROVISION EXPENSE UNDER STRESS (FY2026E)</t>
  </si>
  <si>
    <t xml:space="preserve">Component</t>
  </si>
  <si>
    <t xml:space="preserve">Calculation</t>
  </si>
  <si>
    <t xml:space="preserve">Acquired book gross card receivables — FY2026E</t>
  </si>
  <si>
    <t xml:space="preserve">Acquired book LGD</t>
  </si>
  <si>
    <t xml:space="preserve">Incremental charge-offs on the acquired book</t>
  </si>
  <si>
    <t xml:space="preserve">gross receivables x +200bps</t>
  </si>
  <si>
    <t xml:space="preserve">Stage 3 migration — lifetime ECL build on the acquired book</t>
  </si>
  <si>
    <t xml:space="preserve">gross receivables x +150bps x LGD</t>
  </si>
  <si>
    <t xml:space="preserve">Meridian existing gross card receivables — FY2026E</t>
  </si>
  <si>
    <t xml:space="preserve">Incremental charge-offs on Meridian's existing book</t>
  </si>
  <si>
    <t xml:space="preserve">gross receivables x +50bps</t>
  </si>
  <si>
    <t xml:space="preserve">TOTAL INCREMENTAL PROVISION EXPENSE (pretax)</t>
  </si>
  <si>
    <t xml:space="preserve">After-tax impact on capital</t>
  </si>
  <si>
    <t xml:space="preserve">Stress provision as a multiple of the deal's base-case Year-1 provision</t>
  </si>
  <si>
    <t xml:space="preserve">C.  EAD MIGRATION OVERLAY — RWA IMPACT</t>
  </si>
  <si>
    <t xml:space="preserve">Acquired book undrawn card lines — FY2026E</t>
  </si>
  <si>
    <t xml:space="preserve">Undrawn balances drawn under stress</t>
  </si>
  <si>
    <t xml:space="preserve">Incremental RWA (on balance sheet at 75% RW, less the 10% CCF already capitalised)</t>
  </si>
  <si>
    <t xml:space="preserve">This is the option asymmetry at portfolio scale. The customer's drawdown right is exercised precisely when the bank would most like to cancel, and the regulatory 10% conversion factor capitalises only a tenth of the committed exposure until it converts. Buying Northfield means buying 12,350 of these options at once.</t>
  </si>
  <si>
    <t xml:space="preserve">D.  STRESSED PRO FORMA CAPITAL</t>
  </si>
  <si>
    <t xml:space="preserve">Pro forma CET1 capital after the equity raise (base case)</t>
  </si>
  <si>
    <t xml:space="preserve">Less: after-tax stress provision</t>
  </si>
  <si>
    <t xml:space="preserve">Stressed CET1 capital</t>
  </si>
  <si>
    <t xml:space="preserve">Pro forma RWA (base case)</t>
  </si>
  <si>
    <t xml:space="preserve">Plus: EAD migration overlay</t>
  </si>
  <si>
    <t xml:space="preserve">Stressed RWA</t>
  </si>
  <si>
    <t xml:space="preserve">Base-case pro forma CET1 ratio, after the raise</t>
  </si>
  <si>
    <t xml:space="preserve">STRESSED CET1 RATIO — with the equity raise</t>
  </si>
  <si>
    <t xml:space="preserve">Stressed CET1 capital WITHOUT the equity raise</t>
  </si>
  <si>
    <t xml:space="preserve">STRESSED CET1 RATIO — without the equity raise</t>
  </si>
  <si>
    <t xml:space="preserve">Breaches the 7.0% regulatory minimum without a raise?</t>
  </si>
  <si>
    <t xml:space="preserve">Stressed headroom over the 11.0% internal target (bps)</t>
  </si>
  <si>
    <t xml:space="preserve">Additional equity needed to hold the 11.0% target through the stress</t>
  </si>
  <si>
    <t xml:space="preserve">On top of the raise already sized at close</t>
  </si>
  <si>
    <t xml:space="preserve">E.  STRESSED EARNINGS AND EPS (FY2026E)</t>
  </si>
  <si>
    <t xml:space="preserve">Base-case pro forma pre-tax income</t>
  </si>
  <si>
    <t xml:space="preserve">Less: stress provision expense</t>
  </si>
  <si>
    <t xml:space="preserve">Stressed pre-tax income</t>
  </si>
  <si>
    <t xml:space="preserve">Stressed net income</t>
  </si>
  <si>
    <t xml:space="preserve">STRESSED PRO FORMA EPS ($)</t>
  </si>
  <si>
    <t xml:space="preserve">Base-case pro forma EPS ($)</t>
  </si>
  <si>
    <t xml:space="preserve">EPS decline versus base case</t>
  </si>
  <si>
    <t xml:space="preserve">Bank A standalone stressed pre-tax income</t>
  </si>
  <si>
    <t xml:space="preserve">Meridian alone also carries the +50bps stress on its own book</t>
  </si>
  <si>
    <t xml:space="preserve">Bank A standalone stressed EPS ($)</t>
  </si>
  <si>
    <t xml:space="preserve">STRESSED EPS ACCRETION / (DILUTION) versus standalone</t>
  </si>
  <si>
    <t xml:space="preserve">F.  RISK-ADJUSTED RETURN — THE STRESS APPLIED PERMANENTLY TO YEAR 3</t>
  </si>
  <si>
    <t xml:space="preserve">Acquired book gross receivables — FY2028E</t>
  </si>
  <si>
    <t xml:space="preserve">Year-3 stress provision on the acquired book</t>
  </si>
  <si>
    <t xml:space="preserve">Base-case Year-3 deal-attributable after-tax earnings</t>
  </si>
  <si>
    <t xml:space="preserve">Stressed Year-3 deal-attributable after-tax earnings</t>
  </si>
  <si>
    <t xml:space="preserve">Total capital committed</t>
  </si>
  <si>
    <t xml:space="preserve">Base-case Year-3 ROIC on capital committed</t>
  </si>
  <si>
    <t xml:space="preserve">STRESS-ADJUSTED YEAR-3 ROIC</t>
  </si>
  <si>
    <t xml:space="preserve">Base-case ROIC advantage of Deal B over Deal C (bps)</t>
  </si>
  <si>
    <t xml:space="preserve">Stress-adjusted ROIC advantage of Deal B over Deal C (bps)</t>
  </si>
  <si>
    <t xml:space="preserve">Read together: Deal B's return advantage is largely a credit-risk premium. One moderate recession — applied to a book already running a 4.6% charge-off rate and deteriorating — collapses it, while simultaneously consuming the capital cushion the raise was meant to rebuild. Deal C's return is lower but survives the same shock close to intact.</t>
  </si>
  <si>
    <t xml:space="preserve">G.  STRESS SUMMARY</t>
  </si>
  <si>
    <t xml:space="preserve">Headline</t>
  </si>
  <si>
    <t xml:space="preserve">Stressed CET1 ratio, with the equity raise</t>
  </si>
  <si>
    <t xml:space="preserve">Stressed CET1 ratio, without the equity raise</t>
  </si>
  <si>
    <t xml:space="preserve">Stressed Year-1 EPS ($)</t>
  </si>
  <si>
    <t xml:space="preserve">Stressed Year-1 EPS accretion versus standalone</t>
  </si>
  <si>
    <t xml:space="preserve">Stress-adjusted Year-3 ROIC</t>
  </si>
  <si>
    <t xml:space="preserve">Additional equity needed to hold the target through the stress ($mm)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</si>
</sst>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;\(0.0%\);\-"/>
    <numFmt numFmtId="166" formatCode="\$#,##0.00;&quot;($&quot;#,##0.00\);\-"/>
    <numFmt numFmtId="167" formatCode="#,##0.0;\(#,##0.0\);\-"/>
    <numFmt numFmtId="168" formatCode="0.00\x"/>
    <numFmt numFmtId="169" formatCode="0.00%;\(0.00%\);\-"/>
    <numFmt numFmtId="170" formatCode="\$#,##0;&quot;($&quot;#,##0\);\-"/>
    <numFmt numFmtId="171" formatCode="\$#,##0.0;&quot;($&quot;#,##0.0\);\-"/>
    <numFmt numFmtId="172" formatCode="#,##0;\(#,##0\);\-"/>
    <numFmt numFmtId="173" formatCode="@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color rgb="FF7F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9"/>
      <color rgb="FF008000"/>
      <name val="Arial"/>
      <family val="0"/>
      <charset val="1"/>
    </font>
    <font>
      <b val="true"/>
      <i val="true"/>
      <sz val="9"/>
      <color rgb="FF000000"/>
      <name val="Arial"/>
      <family val="0"/>
      <charset val="1"/>
    </font>
    <font>
      <b val="true"/>
      <sz val="9"/>
      <color rgb="FF0B6E3A"/>
      <name val="Arial"/>
      <family val="0"/>
      <charset val="1"/>
    </font>
    <font>
      <b val="true"/>
      <sz val="9"/>
      <color rgb="FF8A3B12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2"/>
      <color rgb="FF0B6E3A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1F3864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CCFFFF"/>
      </patternFill>
    </fill>
    <fill>
      <patternFill patternType="solid">
        <fgColor rgb="FFFFC7CE"/>
        <bgColor rgb="FFCCCC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 diagonalUp="false" diagonalDown="false">
      <left/>
      <right/>
      <top/>
      <bottom style="thin">
        <color rgb="FF1F3864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8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71" fontId="1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71" fontId="1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8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8" fillId="5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8" fillId="5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5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71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73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8" fillId="5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8" fillId="5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8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8" fillId="5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B6E3A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A3B12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78"/>
  </cols>
  <sheetData>
    <row r="1" customFormat="false" ht="24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</v>
      </c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5" t="s">
        <v>2</v>
      </c>
    </row>
    <row r="5" customFormat="false" ht="15" hidden="false" customHeight="true" outlineLevel="0" collapsed="false">
      <c r="A5" s="6" t="s">
        <v>3</v>
      </c>
      <c r="B5" s="6"/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A6" s="6"/>
      <c r="B6" s="6"/>
      <c r="C6" s="6"/>
      <c r="D6" s="6"/>
      <c r="E6" s="6"/>
      <c r="F6" s="6"/>
      <c r="G6" s="6"/>
      <c r="H6" s="6"/>
    </row>
    <row r="9" customFormat="false" ht="15" hidden="false" customHeight="false" outlineLevel="0" collapsed="false">
      <c r="A9" s="7" t="s">
        <v>4</v>
      </c>
      <c r="B9" s="4"/>
      <c r="C9" s="4"/>
      <c r="D9" s="4"/>
    </row>
    <row r="10" customFormat="false" ht="15" hidden="false" customHeight="false" outlineLevel="0" collapsed="false">
      <c r="A10" s="8" t="s">
        <v>5</v>
      </c>
    </row>
    <row r="11" customFormat="false" ht="15" hidden="false" customHeight="false" outlineLevel="0" collapsed="false">
      <c r="A11" s="9" t="s">
        <v>6</v>
      </c>
    </row>
    <row r="12" customFormat="false" ht="15" hidden="false" customHeight="false" outlineLevel="0" collapsed="false">
      <c r="A12" s="10" t="s">
        <v>7</v>
      </c>
    </row>
    <row r="13" customFormat="false" ht="15" hidden="false" customHeight="false" outlineLevel="0" collapsed="false">
      <c r="A13" s="11" t="s">
        <v>8</v>
      </c>
    </row>
    <row r="14" customFormat="false" ht="15" hidden="false" customHeight="false" outlineLevel="0" collapsed="false">
      <c r="A14" s="12" t="s">
        <v>9</v>
      </c>
    </row>
    <row r="15" customFormat="false" ht="15" hidden="false" customHeight="false" outlineLevel="0" collapsed="false">
      <c r="A15" s="12" t="s">
        <v>10</v>
      </c>
    </row>
    <row r="16" customFormat="false" ht="15" hidden="false" customHeight="false" outlineLevel="0" collapsed="false">
      <c r="A16" s="12" t="s">
        <v>11</v>
      </c>
    </row>
    <row r="18" customFormat="false" ht="15" hidden="false" customHeight="false" outlineLevel="0" collapsed="false">
      <c r="A18" s="7" t="s">
        <v>12</v>
      </c>
      <c r="B18" s="4"/>
      <c r="C18" s="4"/>
      <c r="D18" s="4"/>
    </row>
    <row r="19" customFormat="false" ht="27.75" hidden="false" customHeight="true" outlineLevel="0" collapsed="false">
      <c r="A19" s="13" t="s">
        <v>13</v>
      </c>
      <c r="B19" s="14" t="s">
        <v>14</v>
      </c>
      <c r="C19" s="14"/>
      <c r="D19" s="14" t="s">
        <v>15</v>
      </c>
    </row>
    <row r="20" customFormat="false" ht="15" hidden="false" customHeight="false" outlineLevel="0" collapsed="false">
      <c r="A20" s="15" t="s">
        <v>16</v>
      </c>
      <c r="B20" s="16" t="n">
        <v>0.26</v>
      </c>
      <c r="D20" s="17" t="s">
        <v>17</v>
      </c>
    </row>
    <row r="21" customFormat="false" ht="15" hidden="false" customHeight="false" outlineLevel="0" collapsed="false">
      <c r="A21" s="15" t="s">
        <v>18</v>
      </c>
      <c r="B21" s="16" t="n">
        <v>0.11</v>
      </c>
      <c r="D21" s="17" t="s">
        <v>19</v>
      </c>
    </row>
    <row r="22" customFormat="false" ht="15" hidden="false" customHeight="false" outlineLevel="0" collapsed="false">
      <c r="A22" s="15" t="s">
        <v>20</v>
      </c>
      <c r="B22" s="16" t="n">
        <v>0.07</v>
      </c>
      <c r="D22" s="17" t="s">
        <v>21</v>
      </c>
    </row>
    <row r="23" customFormat="false" ht="15" hidden="false" customHeight="false" outlineLevel="0" collapsed="false">
      <c r="A23" s="15" t="s">
        <v>22</v>
      </c>
      <c r="B23" s="18" t="n">
        <v>44</v>
      </c>
      <c r="D23" s="17" t="s">
        <v>23</v>
      </c>
    </row>
    <row r="24" customFormat="false" ht="15" hidden="false" customHeight="false" outlineLevel="0" collapsed="false">
      <c r="A24" s="15" t="s">
        <v>24</v>
      </c>
      <c r="B24" s="19" t="n">
        <v>120</v>
      </c>
      <c r="D24" s="17" t="s">
        <v>25</v>
      </c>
    </row>
    <row r="25" customFormat="false" ht="15" hidden="false" customHeight="false" outlineLevel="0" collapsed="false">
      <c r="A25" s="15" t="s">
        <v>26</v>
      </c>
      <c r="B25" s="16" t="n">
        <v>0.03</v>
      </c>
      <c r="D25" s="17" t="s">
        <v>27</v>
      </c>
    </row>
    <row r="26" customFormat="false" ht="15" hidden="false" customHeight="false" outlineLevel="0" collapsed="false">
      <c r="A26" s="15" t="s">
        <v>28</v>
      </c>
      <c r="B26" s="20" t="n">
        <v>12</v>
      </c>
      <c r="D26" s="17" t="s">
        <v>29</v>
      </c>
    </row>
    <row r="27" customFormat="false" ht="15" hidden="false" customHeight="false" outlineLevel="0" collapsed="false">
      <c r="A27" s="15" t="s">
        <v>30</v>
      </c>
      <c r="B27" s="16" t="n">
        <v>0.1</v>
      </c>
      <c r="D27" s="17" t="s">
        <v>31</v>
      </c>
    </row>
    <row r="28" customFormat="false" ht="15" hidden="false" customHeight="false" outlineLevel="0" collapsed="false">
      <c r="A28" s="15" t="s">
        <v>32</v>
      </c>
      <c r="B28" s="16" t="n">
        <v>0.75</v>
      </c>
      <c r="D28" s="17" t="s">
        <v>33</v>
      </c>
    </row>
    <row r="29" customFormat="false" ht="15" hidden="false" customHeight="false" outlineLevel="0" collapsed="false">
      <c r="A29" s="15" t="s">
        <v>34</v>
      </c>
      <c r="B29" s="16" t="n">
        <v>0.45</v>
      </c>
      <c r="D29" s="17" t="s">
        <v>33</v>
      </c>
    </row>
    <row r="30" customFormat="false" ht="15" hidden="false" customHeight="false" outlineLevel="0" collapsed="false">
      <c r="A30" s="15" t="s">
        <v>35</v>
      </c>
      <c r="B30" s="21" t="n">
        <v>0.015</v>
      </c>
      <c r="D30" s="17" t="s">
        <v>33</v>
      </c>
    </row>
    <row r="32" customFormat="false" ht="15" hidden="false" customHeight="false" outlineLevel="0" collapsed="false">
      <c r="A32" s="7" t="s">
        <v>36</v>
      </c>
      <c r="B32" s="4"/>
      <c r="C32" s="4"/>
      <c r="D32" s="4"/>
      <c r="E32" s="4"/>
    </row>
    <row r="33" customFormat="false" ht="27.75" hidden="false" customHeight="true" outlineLevel="0" collapsed="false">
      <c r="A33" s="13" t="s">
        <v>37</v>
      </c>
      <c r="B33" s="14" t="s">
        <v>38</v>
      </c>
      <c r="C33" s="14" t="s">
        <v>39</v>
      </c>
      <c r="D33" s="14" t="s">
        <v>40</v>
      </c>
      <c r="E33" s="14" t="s">
        <v>41</v>
      </c>
    </row>
    <row r="34" customFormat="false" ht="15" hidden="false" customHeight="false" outlineLevel="0" collapsed="false">
      <c r="A34" s="15" t="s">
        <v>42</v>
      </c>
      <c r="B34" s="16" t="n">
        <v>0.045</v>
      </c>
      <c r="C34" s="16" t="n">
        <v>0.1</v>
      </c>
      <c r="D34" s="16" t="n">
        <v>0.03</v>
      </c>
      <c r="E34" s="17" t="s">
        <v>43</v>
      </c>
    </row>
    <row r="35" customFormat="false" ht="15" hidden="false" customHeight="false" outlineLevel="0" collapsed="false">
      <c r="A35" s="15" t="s">
        <v>44</v>
      </c>
      <c r="B35" s="16" t="n">
        <v>0.045</v>
      </c>
      <c r="C35" s="16" t="n">
        <v>0.1</v>
      </c>
      <c r="D35" s="16" t="n">
        <v>0.03</v>
      </c>
      <c r="E35" s="17" t="s">
        <v>45</v>
      </c>
    </row>
    <row r="36" customFormat="false" ht="15" hidden="false" customHeight="false" outlineLevel="0" collapsed="false">
      <c r="A36" s="15" t="s">
        <v>46</v>
      </c>
      <c r="B36" s="16" t="n">
        <v>0.05</v>
      </c>
      <c r="C36" s="16" t="n">
        <v>0.15</v>
      </c>
      <c r="D36" s="16" t="n">
        <v>0.04</v>
      </c>
      <c r="E36" s="17" t="s">
        <v>47</v>
      </c>
    </row>
    <row r="37" customFormat="false" ht="15" hidden="false" customHeight="false" outlineLevel="0" collapsed="false">
      <c r="A37" s="15" t="s">
        <v>48</v>
      </c>
      <c r="B37" s="16" t="n">
        <v>0.035</v>
      </c>
      <c r="C37" s="16" t="n">
        <v>0.06</v>
      </c>
      <c r="D37" s="16" t="n">
        <v>0.03</v>
      </c>
      <c r="E37" s="17" t="s">
        <v>49</v>
      </c>
    </row>
    <row r="38" customFormat="false" ht="15" hidden="false" customHeight="false" outlineLevel="0" collapsed="false">
      <c r="A38" s="15" t="s">
        <v>50</v>
      </c>
      <c r="B38" s="16" t="n">
        <v>0.06</v>
      </c>
      <c r="C38" s="16" t="n">
        <v>0.1</v>
      </c>
      <c r="D38" s="16" t="n">
        <v>0.04</v>
      </c>
      <c r="E38" s="17" t="s">
        <v>51</v>
      </c>
    </row>
    <row r="40" customFormat="false" ht="15" hidden="false" customHeight="false" outlineLevel="0" collapsed="false">
      <c r="A40" s="7" t="s">
        <v>52</v>
      </c>
      <c r="B40" s="4"/>
      <c r="C40" s="4"/>
      <c r="D40" s="4"/>
    </row>
    <row r="41" customFormat="false" ht="27.75" hidden="false" customHeight="true" outlineLevel="0" collapsed="false">
      <c r="A41" s="13" t="s">
        <v>53</v>
      </c>
      <c r="B41" s="14" t="s">
        <v>14</v>
      </c>
      <c r="C41" s="14"/>
      <c r="D41" s="14" t="s">
        <v>15</v>
      </c>
    </row>
    <row r="42" customFormat="false" ht="15" hidden="false" customHeight="false" outlineLevel="0" collapsed="false">
      <c r="A42" s="15" t="s">
        <v>54</v>
      </c>
      <c r="B42" s="22" t="n">
        <v>1650</v>
      </c>
      <c r="D42" s="17" t="s">
        <v>55</v>
      </c>
    </row>
    <row r="43" customFormat="false" ht="15" hidden="false" customHeight="false" outlineLevel="0" collapsed="false">
      <c r="A43" s="15" t="s">
        <v>56</v>
      </c>
      <c r="B43" s="22" t="n">
        <v>1320</v>
      </c>
      <c r="D43" s="17" t="s">
        <v>57</v>
      </c>
    </row>
    <row r="44" customFormat="false" ht="15" hidden="false" customHeight="false" outlineLevel="0" collapsed="false">
      <c r="A44" s="15" t="s">
        <v>58</v>
      </c>
      <c r="B44" s="16" t="n">
        <v>0.7</v>
      </c>
      <c r="D44" s="17" t="s">
        <v>55</v>
      </c>
    </row>
    <row r="45" customFormat="false" ht="15" hidden="false" customHeight="false" outlineLevel="0" collapsed="false">
      <c r="A45" s="15" t="s">
        <v>59</v>
      </c>
      <c r="B45" s="23" t="n">
        <f aca="false">'Cover &amp; Assumptions'!$B$42*'Cover &amp; Assumptions'!$B$44</f>
        <v>1155</v>
      </c>
    </row>
    <row r="46" customFormat="false" ht="15" hidden="false" customHeight="false" outlineLevel="0" collapsed="false">
      <c r="A46" s="15" t="s">
        <v>60</v>
      </c>
      <c r="B46" s="23" t="n">
        <f aca="false">'Cover &amp; Assumptions'!$B$42-'Cover &amp; Assumptions'!$B$45</f>
        <v>495</v>
      </c>
    </row>
    <row r="47" customFormat="false" ht="15" hidden="false" customHeight="false" outlineLevel="0" collapsed="false">
      <c r="A47" s="15" t="s">
        <v>61</v>
      </c>
      <c r="B47" s="21" t="n">
        <v>0.0525</v>
      </c>
      <c r="D47" s="17" t="s">
        <v>55</v>
      </c>
    </row>
    <row r="48" customFormat="false" ht="15" hidden="false" customHeight="false" outlineLevel="0" collapsed="false">
      <c r="A48" s="15" t="s">
        <v>62</v>
      </c>
      <c r="B48" s="16" t="n">
        <v>0.3</v>
      </c>
      <c r="D48" s="17" t="s">
        <v>55</v>
      </c>
    </row>
    <row r="49" customFormat="false" ht="15" hidden="false" customHeight="false" outlineLevel="0" collapsed="false">
      <c r="A49" s="15" t="s">
        <v>63</v>
      </c>
      <c r="B49" s="24" t="n">
        <f aca="false">'Cover &amp; Assumptions'!$B$48*'Standalone Summary'!$C$39</f>
        <v>192</v>
      </c>
    </row>
    <row r="50" customFormat="false" ht="15" hidden="false" customHeight="false" outlineLevel="0" collapsed="false">
      <c r="A50" s="15" t="s">
        <v>64</v>
      </c>
      <c r="B50" s="16" t="n">
        <v>0.4</v>
      </c>
      <c r="D50" s="17" t="s">
        <v>55</v>
      </c>
    </row>
    <row r="51" customFormat="false" ht="15" hidden="false" customHeight="false" outlineLevel="0" collapsed="false">
      <c r="A51" s="15" t="s">
        <v>65</v>
      </c>
      <c r="B51" s="16" t="n">
        <v>0.8</v>
      </c>
      <c r="D51" s="17" t="s">
        <v>55</v>
      </c>
    </row>
    <row r="52" customFormat="false" ht="15" hidden="false" customHeight="false" outlineLevel="0" collapsed="false">
      <c r="A52" s="15" t="s">
        <v>66</v>
      </c>
      <c r="B52" s="16" t="n">
        <v>1</v>
      </c>
      <c r="D52" s="17" t="s">
        <v>55</v>
      </c>
    </row>
    <row r="53" customFormat="false" ht="15" hidden="false" customHeight="false" outlineLevel="0" collapsed="false">
      <c r="A53" s="15" t="s">
        <v>67</v>
      </c>
      <c r="B53" s="22" t="n">
        <v>2000</v>
      </c>
      <c r="D53" s="17" t="s">
        <v>68</v>
      </c>
    </row>
    <row r="54" customFormat="false" ht="15" hidden="false" customHeight="false" outlineLevel="0" collapsed="false">
      <c r="A54" s="15" t="s">
        <v>69</v>
      </c>
      <c r="B54" s="21" t="n">
        <v>0.015</v>
      </c>
      <c r="D54" s="17" t="s">
        <v>70</v>
      </c>
    </row>
    <row r="55" customFormat="false" ht="15" hidden="false" customHeight="false" outlineLevel="0" collapsed="false">
      <c r="A55" s="15" t="s">
        <v>71</v>
      </c>
      <c r="B55" s="25" t="n">
        <f aca="false">'Cover &amp; Assumptions'!$B$53*'Cover &amp; Assumptions'!$B$54</f>
        <v>30</v>
      </c>
    </row>
    <row r="56" customFormat="false" ht="15" hidden="false" customHeight="false" outlineLevel="0" collapsed="false">
      <c r="A56" s="15" t="s">
        <v>72</v>
      </c>
      <c r="B56" s="16" t="n">
        <v>0.05</v>
      </c>
      <c r="D56" s="17" t="s">
        <v>55</v>
      </c>
    </row>
    <row r="57" customFormat="false" ht="15" hidden="false" customHeight="false" outlineLevel="0" collapsed="false">
      <c r="A57" s="15" t="s">
        <v>73</v>
      </c>
      <c r="B57" s="26" t="n">
        <f aca="false">'Standalone Summary'!$B$34+'Standalone Summary'!$C$34</f>
        <v>310</v>
      </c>
    </row>
    <row r="58" customFormat="false" ht="15" hidden="false" customHeight="false" outlineLevel="0" collapsed="false">
      <c r="A58" s="15" t="s">
        <v>74</v>
      </c>
      <c r="B58" s="25" t="n">
        <f aca="false">'Cover &amp; Assumptions'!$B$56*'Cover &amp; Assumptions'!$B$57</f>
        <v>15.5</v>
      </c>
    </row>
    <row r="59" customFormat="false" ht="15" hidden="false" customHeight="false" outlineLevel="0" collapsed="false">
      <c r="A59" s="27" t="s">
        <v>75</v>
      </c>
      <c r="B59" s="28" t="n">
        <f aca="false">'Cover &amp; Assumptions'!$B$55+'Cover &amp; Assumptions'!$B$58</f>
        <v>45.5</v>
      </c>
    </row>
    <row r="60" customFormat="false" ht="15" hidden="false" customHeight="false" outlineLevel="0" collapsed="false">
      <c r="A60" s="15" t="s">
        <v>76</v>
      </c>
      <c r="B60" s="16" t="n">
        <v>0.5</v>
      </c>
      <c r="D60" s="17" t="s">
        <v>77</v>
      </c>
    </row>
    <row r="61" customFormat="false" ht="15" hidden="false" customHeight="false" outlineLevel="0" collapsed="false">
      <c r="A61" s="15" t="s">
        <v>78</v>
      </c>
      <c r="B61" s="16" t="n">
        <v>1</v>
      </c>
    </row>
    <row r="62" customFormat="false" ht="15" hidden="false" customHeight="false" outlineLevel="0" collapsed="false">
      <c r="A62" s="15" t="s">
        <v>79</v>
      </c>
      <c r="B62" s="16" t="n">
        <v>1</v>
      </c>
    </row>
    <row r="63" customFormat="false" ht="15" hidden="false" customHeight="false" outlineLevel="0" collapsed="false">
      <c r="A63" s="15" t="s">
        <v>80</v>
      </c>
      <c r="B63" s="22" t="n">
        <v>180</v>
      </c>
      <c r="D63" s="17" t="s">
        <v>81</v>
      </c>
    </row>
    <row r="64" customFormat="false" ht="15" hidden="false" customHeight="false" outlineLevel="0" collapsed="false">
      <c r="A64" s="15" t="s">
        <v>82</v>
      </c>
      <c r="B64" s="22" t="n">
        <v>115</v>
      </c>
      <c r="D64" s="17" t="s">
        <v>83</v>
      </c>
    </row>
    <row r="66" customFormat="false" ht="15" hidden="false" customHeight="false" outlineLevel="0" collapsed="false">
      <c r="A66" s="7" t="s">
        <v>84</v>
      </c>
      <c r="B66" s="4"/>
      <c r="C66" s="4"/>
      <c r="D66" s="4"/>
    </row>
    <row r="67" customFormat="false" ht="27.75" hidden="false" customHeight="true" outlineLevel="0" collapsed="false">
      <c r="A67" s="13" t="s">
        <v>53</v>
      </c>
      <c r="B67" s="14" t="s">
        <v>14</v>
      </c>
      <c r="C67" s="14"/>
      <c r="D67" s="14" t="s">
        <v>15</v>
      </c>
    </row>
    <row r="68" customFormat="false" ht="15" hidden="false" customHeight="false" outlineLevel="0" collapsed="false">
      <c r="A68" s="15" t="s">
        <v>54</v>
      </c>
      <c r="B68" s="22" t="n">
        <v>1050</v>
      </c>
      <c r="D68" s="17" t="s">
        <v>55</v>
      </c>
    </row>
    <row r="69" customFormat="false" ht="15" hidden="false" customHeight="false" outlineLevel="0" collapsed="false">
      <c r="A69" s="15" t="s">
        <v>85</v>
      </c>
      <c r="B69" s="22" t="n">
        <v>880</v>
      </c>
      <c r="D69" s="17" t="s">
        <v>86</v>
      </c>
    </row>
    <row r="70" customFormat="false" ht="15" hidden="false" customHeight="false" outlineLevel="0" collapsed="false">
      <c r="A70" s="15" t="s">
        <v>58</v>
      </c>
      <c r="B70" s="16" t="n">
        <v>0.5</v>
      </c>
      <c r="D70" s="17" t="s">
        <v>55</v>
      </c>
    </row>
    <row r="71" customFormat="false" ht="15" hidden="false" customHeight="false" outlineLevel="0" collapsed="false">
      <c r="A71" s="15" t="s">
        <v>59</v>
      </c>
      <c r="B71" s="23" t="n">
        <f aca="false">'Cover &amp; Assumptions'!$B$68*'Cover &amp; Assumptions'!$B$70</f>
        <v>525</v>
      </c>
    </row>
    <row r="72" customFormat="false" ht="15" hidden="false" customHeight="false" outlineLevel="0" collapsed="false">
      <c r="A72" s="15" t="s">
        <v>60</v>
      </c>
      <c r="B72" s="23" t="n">
        <f aca="false">'Cover &amp; Assumptions'!$B$68-'Cover &amp; Assumptions'!$B$71</f>
        <v>525</v>
      </c>
    </row>
    <row r="73" customFormat="false" ht="15" hidden="false" customHeight="false" outlineLevel="0" collapsed="false">
      <c r="A73" s="15" t="s">
        <v>61</v>
      </c>
      <c r="B73" s="21" t="n">
        <v>0.0485</v>
      </c>
      <c r="D73" s="17" t="s">
        <v>87</v>
      </c>
    </row>
    <row r="74" customFormat="false" ht="15" hidden="false" customHeight="false" outlineLevel="0" collapsed="false">
      <c r="A74" s="15" t="s">
        <v>62</v>
      </c>
      <c r="B74" s="16" t="n">
        <v>0.45</v>
      </c>
      <c r="D74" s="17" t="s">
        <v>55</v>
      </c>
    </row>
    <row r="75" customFormat="false" ht="15" hidden="false" customHeight="false" outlineLevel="0" collapsed="false">
      <c r="A75" s="15" t="s">
        <v>63</v>
      </c>
      <c r="B75" s="24" t="n">
        <f aca="false">'Cover &amp; Assumptions'!$B$74*'Standalone Summary'!$D$39</f>
        <v>87.75</v>
      </c>
    </row>
    <row r="76" customFormat="false" ht="15" hidden="false" customHeight="false" outlineLevel="0" collapsed="false">
      <c r="A76" s="15" t="s">
        <v>64</v>
      </c>
      <c r="B76" s="16" t="n">
        <v>0.5</v>
      </c>
      <c r="D76" s="17" t="s">
        <v>88</v>
      </c>
    </row>
    <row r="77" customFormat="false" ht="15" hidden="false" customHeight="false" outlineLevel="0" collapsed="false">
      <c r="A77" s="15" t="s">
        <v>65</v>
      </c>
      <c r="B77" s="16" t="n">
        <v>0.85</v>
      </c>
      <c r="D77" s="17" t="s">
        <v>55</v>
      </c>
    </row>
    <row r="78" customFormat="false" ht="15" hidden="false" customHeight="false" outlineLevel="0" collapsed="false">
      <c r="A78" s="15" t="s">
        <v>66</v>
      </c>
      <c r="B78" s="16" t="n">
        <v>1</v>
      </c>
      <c r="D78" s="17" t="s">
        <v>55</v>
      </c>
    </row>
    <row r="79" customFormat="false" ht="15" hidden="false" customHeight="false" outlineLevel="0" collapsed="false">
      <c r="A79" s="15" t="s">
        <v>89</v>
      </c>
      <c r="B79" s="16" t="n">
        <v>0.15</v>
      </c>
      <c r="D79" s="17" t="s">
        <v>90</v>
      </c>
    </row>
    <row r="80" customFormat="false" ht="15" hidden="false" customHeight="false" outlineLevel="0" collapsed="false">
      <c r="A80" s="15" t="s">
        <v>91</v>
      </c>
      <c r="B80" s="26" t="n">
        <f aca="false">'Standalone Summary'!$B$65+'Standalone Summary'!$D$65</f>
        <v>5450</v>
      </c>
    </row>
    <row r="81" customFormat="false" ht="15" hidden="false" customHeight="false" outlineLevel="0" collapsed="false">
      <c r="A81" s="15" t="s">
        <v>92</v>
      </c>
      <c r="B81" s="25" t="n">
        <f aca="false">'Cover &amp; Assumptions'!$B$80*'Cover &amp; Assumptions'!$B$79*'Cover &amp; Assumptions'!$B$30</f>
        <v>12.2625</v>
      </c>
    </row>
    <row r="82" customFormat="false" ht="15" hidden="false" customHeight="false" outlineLevel="0" collapsed="false">
      <c r="A82" s="15" t="s">
        <v>93</v>
      </c>
      <c r="B82" s="21" t="n">
        <v>0.001</v>
      </c>
      <c r="D82" s="17" t="s">
        <v>94</v>
      </c>
    </row>
    <row r="83" customFormat="false" ht="15" hidden="false" customHeight="false" outlineLevel="0" collapsed="false">
      <c r="A83" s="15" t="s">
        <v>95</v>
      </c>
      <c r="B83" s="26" t="n">
        <f aca="false">'Standalone Summary'!$B$27+'Standalone Summary'!$D$27</f>
        <v>45550</v>
      </c>
    </row>
    <row r="84" customFormat="false" ht="15" hidden="false" customHeight="false" outlineLevel="0" collapsed="false">
      <c r="A84" s="15" t="s">
        <v>96</v>
      </c>
      <c r="B84" s="25" t="n">
        <f aca="false">'Cover &amp; Assumptions'!$B$82*'Cover &amp; Assumptions'!$B$83</f>
        <v>45.55</v>
      </c>
    </row>
    <row r="85" customFormat="false" ht="15" hidden="false" customHeight="false" outlineLevel="0" collapsed="false">
      <c r="A85" s="27" t="s">
        <v>75</v>
      </c>
      <c r="B85" s="28" t="n">
        <f aca="false">'Cover &amp; Assumptions'!$B$81+'Cover &amp; Assumptions'!$B$84</f>
        <v>57.8125</v>
      </c>
    </row>
    <row r="86" customFormat="false" ht="15" hidden="false" customHeight="false" outlineLevel="0" collapsed="false">
      <c r="A86" s="15" t="s">
        <v>76</v>
      </c>
      <c r="B86" s="16" t="n">
        <v>0.5</v>
      </c>
      <c r="D86" s="17" t="s">
        <v>97</v>
      </c>
    </row>
    <row r="87" customFormat="false" ht="15" hidden="false" customHeight="false" outlineLevel="0" collapsed="false">
      <c r="A87" s="15" t="s">
        <v>78</v>
      </c>
      <c r="B87" s="16" t="n">
        <v>1</v>
      </c>
    </row>
    <row r="88" customFormat="false" ht="15" hidden="false" customHeight="false" outlineLevel="0" collapsed="false">
      <c r="A88" s="15" t="s">
        <v>79</v>
      </c>
      <c r="B88" s="16" t="n">
        <v>1</v>
      </c>
    </row>
    <row r="89" customFormat="false" ht="15" hidden="false" customHeight="false" outlineLevel="0" collapsed="false">
      <c r="A89" s="15" t="s">
        <v>80</v>
      </c>
      <c r="B89" s="22" t="n">
        <v>95</v>
      </c>
      <c r="D89" s="17" t="s">
        <v>55</v>
      </c>
    </row>
    <row r="90" customFormat="false" ht="15" hidden="false" customHeight="false" outlineLevel="0" collapsed="false">
      <c r="A90" s="15" t="s">
        <v>82</v>
      </c>
      <c r="B90" s="22" t="n">
        <v>12</v>
      </c>
      <c r="D90" s="17" t="s">
        <v>55</v>
      </c>
    </row>
    <row r="92" customFormat="false" ht="15" hidden="false" customHeight="false" outlineLevel="0" collapsed="false">
      <c r="A92" s="7" t="s">
        <v>98</v>
      </c>
      <c r="B92" s="4"/>
      <c r="C92" s="4"/>
      <c r="D92" s="4"/>
    </row>
    <row r="93" customFormat="false" ht="27.75" hidden="false" customHeight="true" outlineLevel="0" collapsed="false">
      <c r="A93" s="13" t="s">
        <v>99</v>
      </c>
      <c r="B93" s="14" t="s">
        <v>14</v>
      </c>
      <c r="C93" s="14"/>
      <c r="D93" s="14" t="s">
        <v>15</v>
      </c>
    </row>
    <row r="94" customFormat="false" ht="15" hidden="false" customHeight="false" outlineLevel="0" collapsed="false">
      <c r="A94" s="15" t="s">
        <v>100</v>
      </c>
      <c r="B94" s="21" t="n">
        <v>0.02</v>
      </c>
      <c r="D94" s="17" t="s">
        <v>101</v>
      </c>
    </row>
    <row r="95" customFormat="false" ht="15" hidden="false" customHeight="false" outlineLevel="0" collapsed="false">
      <c r="A95" s="15" t="s">
        <v>102</v>
      </c>
      <c r="B95" s="21" t="n">
        <v>0.015</v>
      </c>
      <c r="D95" s="17" t="s">
        <v>103</v>
      </c>
    </row>
    <row r="96" customFormat="false" ht="15" hidden="false" customHeight="false" outlineLevel="0" collapsed="false">
      <c r="A96" s="15" t="s">
        <v>104</v>
      </c>
      <c r="B96" s="21" t="n">
        <v>0.005</v>
      </c>
      <c r="D96" s="17" t="s">
        <v>105</v>
      </c>
    </row>
    <row r="97" customFormat="false" ht="15" hidden="false" customHeight="false" outlineLevel="0" collapsed="false">
      <c r="A97" s="15" t="s">
        <v>106</v>
      </c>
      <c r="B97" s="16" t="n">
        <v>0.05</v>
      </c>
      <c r="D97" s="17" t="s">
        <v>107</v>
      </c>
    </row>
    <row r="98" customFormat="false" ht="15" hidden="false" customHeight="false" outlineLevel="0" collapsed="false">
      <c r="A98" s="17" t="s">
        <v>108</v>
      </c>
    </row>
  </sheetData>
  <mergeCells count="1">
    <mergeCell ref="A5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4"/>
    <col collapsed="false" customWidth="true" hidden="false" outlineLevel="0" max="6" min="6" style="0" width="62"/>
  </cols>
  <sheetData>
    <row r="1" customFormat="false" ht="24" hidden="false" customHeight="true" outlineLevel="0" collapsed="false">
      <c r="A1" s="1" t="s">
        <v>109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110</v>
      </c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5" t="s">
        <v>111</v>
      </c>
    </row>
    <row r="5" customFormat="false" ht="15" hidden="false" customHeight="true" outlineLevel="0" collapsed="false">
      <c r="A5" s="6" t="s">
        <v>3</v>
      </c>
      <c r="B5" s="6"/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A6" s="6"/>
      <c r="B6" s="6"/>
      <c r="C6" s="6"/>
      <c r="D6" s="6"/>
      <c r="E6" s="6"/>
      <c r="F6" s="6"/>
      <c r="G6" s="6"/>
      <c r="H6" s="6"/>
    </row>
    <row r="9" customFormat="false" ht="15" hidden="false" customHeight="false" outlineLevel="0" collapsed="false">
      <c r="A9" s="7" t="s">
        <v>112</v>
      </c>
      <c r="B9" s="4"/>
      <c r="C9" s="4"/>
      <c r="D9" s="4"/>
      <c r="E9" s="4"/>
      <c r="F9" s="4"/>
    </row>
    <row r="10" customFormat="false" ht="27.75" hidden="false" customHeight="true" outlineLevel="0" collapsed="false">
      <c r="A10" s="13" t="s">
        <v>113</v>
      </c>
      <c r="B10" s="14" t="s">
        <v>114</v>
      </c>
      <c r="C10" s="14" t="s">
        <v>115</v>
      </c>
      <c r="D10" s="14" t="s">
        <v>116</v>
      </c>
      <c r="E10" s="14"/>
      <c r="F10" s="14" t="s">
        <v>117</v>
      </c>
    </row>
    <row r="11" customFormat="false" ht="15" hidden="false" customHeight="false" outlineLevel="0" collapsed="false">
      <c r="A11" s="15" t="s">
        <v>118</v>
      </c>
      <c r="B11" s="22" t="n">
        <v>1800</v>
      </c>
      <c r="C11" s="22" t="n">
        <v>650</v>
      </c>
      <c r="D11" s="22" t="n">
        <v>520</v>
      </c>
    </row>
    <row r="12" customFormat="false" ht="15" hidden="false" customHeight="false" outlineLevel="0" collapsed="false">
      <c r="A12" s="15" t="s">
        <v>119</v>
      </c>
      <c r="B12" s="22" t="n">
        <v>6200</v>
      </c>
      <c r="C12" s="22" t="n">
        <v>900</v>
      </c>
      <c r="D12" s="22" t="n">
        <v>1650</v>
      </c>
    </row>
    <row r="13" customFormat="false" ht="15" hidden="false" customHeight="false" outlineLevel="0" collapsed="false">
      <c r="A13" s="15" t="s">
        <v>120</v>
      </c>
      <c r="B13" s="22" t="n">
        <v>19500</v>
      </c>
      <c r="C13" s="22" t="n">
        <v>0</v>
      </c>
      <c r="D13" s="22" t="n">
        <v>4900</v>
      </c>
    </row>
    <row r="14" customFormat="false" ht="15" hidden="false" customHeight="false" outlineLevel="0" collapsed="false">
      <c r="A14" s="15" t="s">
        <v>121</v>
      </c>
      <c r="B14" s="22" t="n">
        <v>8400</v>
      </c>
      <c r="C14" s="22" t="n">
        <v>0</v>
      </c>
      <c r="D14" s="22" t="n">
        <v>1450</v>
      </c>
    </row>
    <row r="15" customFormat="false" ht="15" hidden="false" customHeight="false" outlineLevel="0" collapsed="false">
      <c r="A15" s="15" t="s">
        <v>122</v>
      </c>
      <c r="B15" s="22" t="n">
        <v>1150</v>
      </c>
      <c r="C15" s="22" t="n">
        <v>7200</v>
      </c>
      <c r="D15" s="22" t="n">
        <v>340</v>
      </c>
    </row>
    <row r="16" customFormat="false" ht="15" hidden="false" customHeight="false" outlineLevel="0" collapsed="false">
      <c r="A16" s="15" t="s">
        <v>123</v>
      </c>
      <c r="B16" s="22" t="n">
        <v>2950</v>
      </c>
      <c r="C16" s="22" t="n">
        <v>1150</v>
      </c>
      <c r="D16" s="22" t="n">
        <v>640</v>
      </c>
    </row>
    <row r="17" customFormat="false" ht="15" hidden="false" customHeight="false" outlineLevel="0" collapsed="false">
      <c r="A17" s="15" t="s">
        <v>124</v>
      </c>
      <c r="B17" s="22" t="n">
        <v>1000</v>
      </c>
      <c r="C17" s="22" t="n">
        <v>500</v>
      </c>
      <c r="D17" s="22" t="n">
        <v>300</v>
      </c>
    </row>
    <row r="18" customFormat="false" ht="15" hidden="false" customHeight="false" outlineLevel="0" collapsed="false">
      <c r="A18" s="27" t="s">
        <v>125</v>
      </c>
      <c r="B18" s="29" t="n">
        <f aca="false">SUM(B11:B17)</f>
        <v>41000</v>
      </c>
      <c r="C18" s="29" t="n">
        <f aca="false">SUM(C11:C17)</f>
        <v>10400</v>
      </c>
      <c r="D18" s="29" t="n">
        <f aca="false">SUM(D11:D17)</f>
        <v>9800</v>
      </c>
    </row>
    <row r="20" customFormat="false" ht="15" hidden="false" customHeight="false" outlineLevel="0" collapsed="false">
      <c r="A20" s="15" t="s">
        <v>126</v>
      </c>
      <c r="B20" s="22" t="n">
        <v>32500</v>
      </c>
      <c r="C20" s="22" t="n">
        <v>6100</v>
      </c>
      <c r="D20" s="22" t="n">
        <v>8200</v>
      </c>
      <c r="F20" s="17" t="s">
        <v>127</v>
      </c>
    </row>
    <row r="21" customFormat="false" ht="15" hidden="false" customHeight="false" outlineLevel="0" collapsed="false">
      <c r="A21" s="15" t="s">
        <v>128</v>
      </c>
      <c r="B21" s="22" t="n">
        <v>4300</v>
      </c>
      <c r="C21" s="22" t="n">
        <v>2900</v>
      </c>
      <c r="D21" s="22" t="n">
        <v>550</v>
      </c>
    </row>
    <row r="22" customFormat="false" ht="15" hidden="false" customHeight="false" outlineLevel="0" collapsed="false">
      <c r="A22" s="15" t="s">
        <v>129</v>
      </c>
      <c r="B22" s="22" t="n">
        <v>900</v>
      </c>
      <c r="C22" s="22" t="n">
        <v>500</v>
      </c>
      <c r="D22" s="22" t="n">
        <v>250</v>
      </c>
    </row>
    <row r="23" customFormat="false" ht="15" hidden="false" customHeight="false" outlineLevel="0" collapsed="false">
      <c r="A23" s="27" t="s">
        <v>130</v>
      </c>
      <c r="B23" s="29" t="n">
        <f aca="false">SUM(B20:B22)</f>
        <v>37700</v>
      </c>
      <c r="C23" s="29" t="n">
        <f aca="false">SUM(C20:C22)</f>
        <v>9500</v>
      </c>
      <c r="D23" s="29" t="n">
        <f aca="false">SUM(D20:D22)</f>
        <v>9000</v>
      </c>
    </row>
    <row r="24" customFormat="false" ht="15" hidden="false" customHeight="false" outlineLevel="0" collapsed="false">
      <c r="A24" s="15" t="s">
        <v>131</v>
      </c>
      <c r="B24" s="22" t="n">
        <v>3300</v>
      </c>
      <c r="C24" s="22" t="n">
        <v>900</v>
      </c>
      <c r="D24" s="22" t="n">
        <v>800</v>
      </c>
    </row>
    <row r="25" customFormat="false" ht="15" hidden="false" customHeight="false" outlineLevel="0" collapsed="false">
      <c r="A25" s="27" t="s">
        <v>132</v>
      </c>
      <c r="B25" s="30" t="n">
        <f aca="false">B23+B24</f>
        <v>41000</v>
      </c>
      <c r="C25" s="30" t="n">
        <f aca="false">C23+C24</f>
        <v>10400</v>
      </c>
      <c r="D25" s="30" t="n">
        <f aca="false">D23+D24</f>
        <v>9800</v>
      </c>
    </row>
    <row r="26" customFormat="false" ht="15" hidden="false" customHeight="false" outlineLevel="0" collapsed="false">
      <c r="A26" s="12" t="s">
        <v>133</v>
      </c>
      <c r="B26" s="31" t="n">
        <f aca="false">B18-B25</f>
        <v>0</v>
      </c>
      <c r="C26" s="31" t="n">
        <f aca="false">C18-C25</f>
        <v>0</v>
      </c>
      <c r="D26" s="31" t="n">
        <f aca="false">D18-D25</f>
        <v>0</v>
      </c>
      <c r="F26" s="17" t="s">
        <v>134</v>
      </c>
    </row>
    <row r="27" customFormat="false" ht="15" hidden="false" customHeight="false" outlineLevel="0" collapsed="false">
      <c r="A27" s="12" t="s">
        <v>135</v>
      </c>
      <c r="B27" s="31" t="n">
        <f aca="false">B20+B21</f>
        <v>36800</v>
      </c>
      <c r="C27" s="31" t="n">
        <f aca="false">C20+C21</f>
        <v>9000</v>
      </c>
      <c r="D27" s="31" t="n">
        <f aca="false">D20+D21</f>
        <v>8750</v>
      </c>
    </row>
    <row r="29" customFormat="false" ht="15" hidden="false" customHeight="false" outlineLevel="0" collapsed="false">
      <c r="A29" s="7" t="s">
        <v>136</v>
      </c>
      <c r="B29" s="4"/>
      <c r="C29" s="4"/>
      <c r="D29" s="4"/>
      <c r="E29" s="4"/>
      <c r="F29" s="4"/>
    </row>
    <row r="30" customFormat="false" ht="27.75" hidden="false" customHeight="true" outlineLevel="0" collapsed="false">
      <c r="A30" s="13" t="s">
        <v>113</v>
      </c>
      <c r="B30" s="14" t="s">
        <v>38</v>
      </c>
      <c r="C30" s="14" t="s">
        <v>39</v>
      </c>
      <c r="D30" s="14" t="s">
        <v>40</v>
      </c>
      <c r="E30" s="14"/>
      <c r="F30" s="14" t="s">
        <v>117</v>
      </c>
    </row>
    <row r="31" customFormat="false" ht="15" hidden="false" customHeight="false" outlineLevel="0" collapsed="false">
      <c r="A31" s="15" t="s">
        <v>137</v>
      </c>
      <c r="B31" s="22" t="n">
        <v>1780</v>
      </c>
      <c r="C31" s="22" t="n">
        <v>1540</v>
      </c>
      <c r="D31" s="22" t="n">
        <v>415</v>
      </c>
    </row>
    <row r="32" customFormat="false" ht="15" hidden="false" customHeight="false" outlineLevel="0" collapsed="false">
      <c r="A32" s="15" t="s">
        <v>138</v>
      </c>
      <c r="B32" s="22" t="n">
        <v>820</v>
      </c>
      <c r="C32" s="22" t="n">
        <v>290</v>
      </c>
      <c r="D32" s="22" t="n">
        <v>165</v>
      </c>
    </row>
    <row r="33" customFormat="false" ht="15" hidden="false" customHeight="false" outlineLevel="0" collapsed="false">
      <c r="A33" s="27" t="s">
        <v>139</v>
      </c>
      <c r="B33" s="29" t="n">
        <f aca="false">B31-B32</f>
        <v>960</v>
      </c>
      <c r="C33" s="29" t="n">
        <f aca="false">C31-C32</f>
        <v>1250</v>
      </c>
      <c r="D33" s="29" t="n">
        <f aca="false">D31-D32</f>
        <v>250</v>
      </c>
    </row>
    <row r="34" customFormat="false" ht="15" hidden="false" customHeight="false" outlineLevel="0" collapsed="false">
      <c r="A34" s="15" t="s">
        <v>140</v>
      </c>
      <c r="B34" s="22" t="n">
        <v>64</v>
      </c>
      <c r="C34" s="22" t="n">
        <v>246</v>
      </c>
      <c r="D34" s="22" t="n">
        <v>21</v>
      </c>
      <c r="F34" s="17" t="s">
        <v>141</v>
      </c>
    </row>
    <row r="35" customFormat="false" ht="15" hidden="false" customHeight="false" outlineLevel="0" collapsed="false">
      <c r="A35" s="15" t="s">
        <v>142</v>
      </c>
      <c r="B35" s="22" t="n">
        <v>410</v>
      </c>
      <c r="C35" s="22" t="n">
        <v>0</v>
      </c>
      <c r="D35" s="22" t="n">
        <v>38</v>
      </c>
    </row>
    <row r="36" customFormat="false" ht="15" hidden="false" customHeight="false" outlineLevel="0" collapsed="false">
      <c r="A36" s="27" t="s">
        <v>44</v>
      </c>
      <c r="B36" s="29" t="n">
        <f aca="false">B34+B35</f>
        <v>474</v>
      </c>
      <c r="C36" s="29" t="n">
        <f aca="false">C34+C35</f>
        <v>246</v>
      </c>
      <c r="D36" s="29" t="n">
        <f aca="false">D34+D35</f>
        <v>59</v>
      </c>
    </row>
    <row r="37" customFormat="false" ht="15" hidden="false" customHeight="false" outlineLevel="0" collapsed="false">
      <c r="A37" s="27" t="s">
        <v>143</v>
      </c>
      <c r="B37" s="32" t="n">
        <f aca="false">B33+B36</f>
        <v>1434</v>
      </c>
      <c r="C37" s="32" t="n">
        <f aca="false">C33+C36</f>
        <v>1496</v>
      </c>
      <c r="D37" s="32" t="n">
        <f aca="false">D33+D36</f>
        <v>309</v>
      </c>
    </row>
    <row r="38" customFormat="false" ht="15" hidden="false" customHeight="false" outlineLevel="0" collapsed="false">
      <c r="A38" s="15" t="s">
        <v>46</v>
      </c>
      <c r="B38" s="22" t="n">
        <v>96</v>
      </c>
      <c r="C38" s="22" t="n">
        <v>385</v>
      </c>
      <c r="D38" s="22" t="n">
        <v>14</v>
      </c>
    </row>
    <row r="39" customFormat="false" ht="15" hidden="false" customHeight="false" outlineLevel="0" collapsed="false">
      <c r="A39" s="15" t="s">
        <v>144</v>
      </c>
      <c r="B39" s="22" t="n">
        <v>780</v>
      </c>
      <c r="C39" s="22" t="n">
        <v>640</v>
      </c>
      <c r="D39" s="22" t="n">
        <v>195</v>
      </c>
    </row>
    <row r="40" customFormat="false" ht="15" hidden="false" customHeight="false" outlineLevel="0" collapsed="false">
      <c r="A40" s="27" t="s">
        <v>145</v>
      </c>
      <c r="B40" s="29" t="n">
        <f aca="false">B37-B38-B39</f>
        <v>558</v>
      </c>
      <c r="C40" s="29" t="n">
        <f aca="false">C37-C38-C39</f>
        <v>471</v>
      </c>
      <c r="D40" s="29" t="n">
        <f aca="false">D37-D38-D39</f>
        <v>100</v>
      </c>
    </row>
    <row r="41" customFormat="false" ht="15" hidden="false" customHeight="false" outlineLevel="0" collapsed="false">
      <c r="A41" s="15" t="s">
        <v>146</v>
      </c>
      <c r="B41" s="23" t="n">
        <f aca="false">B40*'Cover &amp; Assumptions'!$B$20</f>
        <v>145.08</v>
      </c>
      <c r="C41" s="23" t="n">
        <f aca="false">C40*'Cover &amp; Assumptions'!$B$20</f>
        <v>122.46</v>
      </c>
      <c r="D41" s="23" t="n">
        <f aca="false">D40*'Cover &amp; Assumptions'!$B$20</f>
        <v>26</v>
      </c>
    </row>
    <row r="42" customFormat="false" ht="15" hidden="false" customHeight="false" outlineLevel="0" collapsed="false">
      <c r="A42" s="27" t="s">
        <v>147</v>
      </c>
      <c r="B42" s="30" t="n">
        <f aca="false">B40-B41</f>
        <v>412.92</v>
      </c>
      <c r="C42" s="30" t="n">
        <f aca="false">C40-C41</f>
        <v>348.54</v>
      </c>
      <c r="D42" s="30" t="n">
        <f aca="false">D40-D41</f>
        <v>74</v>
      </c>
    </row>
    <row r="44" customFormat="false" ht="15" hidden="false" customHeight="false" outlineLevel="0" collapsed="false">
      <c r="A44" s="7" t="s">
        <v>148</v>
      </c>
      <c r="B44" s="4"/>
      <c r="C44" s="4"/>
      <c r="D44" s="4"/>
      <c r="E44" s="4"/>
      <c r="F44" s="4"/>
    </row>
    <row r="45" customFormat="false" ht="27.75" hidden="false" customHeight="true" outlineLevel="0" collapsed="false">
      <c r="A45" s="13" t="s">
        <v>113</v>
      </c>
      <c r="B45" s="14" t="s">
        <v>38</v>
      </c>
      <c r="C45" s="14" t="s">
        <v>39</v>
      </c>
      <c r="D45" s="14" t="s">
        <v>40</v>
      </c>
      <c r="E45" s="14"/>
      <c r="F45" s="14" t="s">
        <v>117</v>
      </c>
    </row>
    <row r="46" customFormat="false" ht="15" hidden="false" customHeight="false" outlineLevel="0" collapsed="false">
      <c r="A46" s="15" t="s">
        <v>149</v>
      </c>
      <c r="B46" s="22" t="n">
        <v>3050</v>
      </c>
      <c r="C46" s="22" t="n">
        <v>790</v>
      </c>
      <c r="D46" s="22" t="n">
        <v>760</v>
      </c>
    </row>
    <row r="47" customFormat="false" ht="15" hidden="false" customHeight="false" outlineLevel="0" collapsed="false">
      <c r="A47" s="15" t="s">
        <v>150</v>
      </c>
      <c r="B47" s="22" t="n">
        <v>22600</v>
      </c>
      <c r="C47" s="22" t="n">
        <v>6850</v>
      </c>
      <c r="D47" s="22" t="n">
        <v>4450</v>
      </c>
    </row>
    <row r="48" customFormat="false" ht="15" hidden="false" customHeight="false" outlineLevel="0" collapsed="false">
      <c r="A48" s="27" t="s">
        <v>151</v>
      </c>
      <c r="B48" s="33" t="n">
        <f aca="false">B46/B47</f>
        <v>0.134955752212389</v>
      </c>
      <c r="C48" s="33" t="n">
        <f aca="false">C46/C47</f>
        <v>0.115328467153285</v>
      </c>
      <c r="D48" s="33" t="n">
        <f aca="false">D46/D47</f>
        <v>0.170786516853933</v>
      </c>
    </row>
    <row r="49" customFormat="false" ht="15" hidden="false" customHeight="false" outlineLevel="0" collapsed="false">
      <c r="A49" s="15" t="s">
        <v>152</v>
      </c>
      <c r="B49" s="16" t="n">
        <v>0.076</v>
      </c>
      <c r="C49" s="16" t="n">
        <v>0.087</v>
      </c>
      <c r="D49" s="16" t="n">
        <v>0.082</v>
      </c>
      <c r="F49" s="17" t="s">
        <v>153</v>
      </c>
    </row>
    <row r="50" customFormat="false" ht="15" hidden="false" customHeight="false" outlineLevel="0" collapsed="false">
      <c r="A50" s="15" t="s">
        <v>154</v>
      </c>
      <c r="B50" s="23" t="n">
        <f aca="false">B24-B46</f>
        <v>250</v>
      </c>
      <c r="C50" s="23" t="n">
        <f aca="false">C24-C46</f>
        <v>110</v>
      </c>
      <c r="D50" s="23" t="n">
        <f aca="false">D24-D46</f>
        <v>40</v>
      </c>
      <c r="F50" s="17" t="s">
        <v>155</v>
      </c>
    </row>
    <row r="51" customFormat="false" ht="15" hidden="false" customHeight="false" outlineLevel="0" collapsed="false">
      <c r="A51" s="15" t="s">
        <v>156</v>
      </c>
      <c r="B51" s="34" t="n">
        <f aca="false">B47/B18</f>
        <v>0.551219512195122</v>
      </c>
      <c r="C51" s="34" t="n">
        <f aca="false">C47/C18</f>
        <v>0.658653846153846</v>
      </c>
      <c r="D51" s="34" t="n">
        <f aca="false">D47/D18</f>
        <v>0.454081632653061</v>
      </c>
      <c r="F51" s="17" t="s">
        <v>157</v>
      </c>
    </row>
    <row r="53" customFormat="false" ht="15" hidden="false" customHeight="false" outlineLevel="0" collapsed="false">
      <c r="A53" s="7" t="s">
        <v>158</v>
      </c>
      <c r="B53" s="4"/>
      <c r="C53" s="4"/>
      <c r="D53" s="4"/>
      <c r="E53" s="4"/>
      <c r="F53" s="4"/>
    </row>
    <row r="54" customFormat="false" ht="27.75" hidden="false" customHeight="true" outlineLevel="0" collapsed="false">
      <c r="A54" s="13" t="s">
        <v>113</v>
      </c>
      <c r="B54" s="14" t="s">
        <v>38</v>
      </c>
      <c r="C54" s="14" t="s">
        <v>39</v>
      </c>
      <c r="D54" s="14" t="s">
        <v>40</v>
      </c>
      <c r="E54" s="14"/>
      <c r="F54" s="14" t="s">
        <v>117</v>
      </c>
    </row>
    <row r="55" customFormat="false" ht="15" hidden="false" customHeight="false" outlineLevel="0" collapsed="false">
      <c r="A55" s="15" t="s">
        <v>159</v>
      </c>
      <c r="B55" s="35" t="n">
        <v>480</v>
      </c>
      <c r="C55" s="35" t="n">
        <v>2850</v>
      </c>
      <c r="D55" s="35" t="n">
        <v>145</v>
      </c>
    </row>
    <row r="56" customFormat="false" ht="15" hidden="false" customHeight="false" outlineLevel="0" collapsed="false">
      <c r="A56" s="15" t="s">
        <v>160</v>
      </c>
      <c r="B56" s="22" t="n">
        <v>1190</v>
      </c>
      <c r="C56" s="22" t="n">
        <v>7550</v>
      </c>
      <c r="D56" s="22" t="n">
        <v>355</v>
      </c>
    </row>
    <row r="57" customFormat="false" ht="15" hidden="false" customHeight="false" outlineLevel="0" collapsed="false">
      <c r="A57" s="15" t="s">
        <v>161</v>
      </c>
      <c r="B57" s="22" t="n">
        <v>40</v>
      </c>
      <c r="C57" s="22" t="n">
        <v>350</v>
      </c>
      <c r="D57" s="22" t="n">
        <v>15</v>
      </c>
    </row>
    <row r="58" customFormat="false" ht="15" hidden="false" customHeight="false" outlineLevel="0" collapsed="false">
      <c r="A58" s="15" t="s">
        <v>162</v>
      </c>
      <c r="B58" s="36" t="n">
        <f aca="false">B56-B57</f>
        <v>1150</v>
      </c>
      <c r="C58" s="36" t="n">
        <f aca="false">C56-C57</f>
        <v>7200</v>
      </c>
      <c r="D58" s="36" t="n">
        <f aca="false">D56-D57</f>
        <v>340</v>
      </c>
    </row>
    <row r="59" customFormat="false" ht="15" hidden="false" customHeight="false" outlineLevel="0" collapsed="false">
      <c r="A59" s="15" t="s">
        <v>163</v>
      </c>
      <c r="B59" s="34" t="n">
        <f aca="false">B57/B56</f>
        <v>0.0336134453781513</v>
      </c>
      <c r="C59" s="34" t="n">
        <f aca="false">C57/C56</f>
        <v>0.0463576158940397</v>
      </c>
      <c r="D59" s="34" t="n">
        <f aca="false">D57/D56</f>
        <v>0.0422535211267606</v>
      </c>
      <c r="F59" s="17" t="s">
        <v>164</v>
      </c>
    </row>
    <row r="60" customFormat="false" ht="15" hidden="false" customHeight="false" outlineLevel="0" collapsed="false">
      <c r="A60" s="15" t="s">
        <v>165</v>
      </c>
      <c r="B60" s="23" t="n">
        <f aca="false">B56*1000/B55</f>
        <v>2479.16666666667</v>
      </c>
      <c r="C60" s="23" t="n">
        <f aca="false">C56*1000/C55</f>
        <v>2649.12280701754</v>
      </c>
      <c r="D60" s="23" t="n">
        <f aca="false">D56*1000/D55</f>
        <v>2448.27586206897</v>
      </c>
    </row>
    <row r="61" customFormat="false" ht="15" hidden="false" customHeight="false" outlineLevel="0" collapsed="false">
      <c r="A61" s="15" t="s">
        <v>166</v>
      </c>
      <c r="B61" s="16" t="n">
        <v>0.4</v>
      </c>
      <c r="C61" s="16" t="n">
        <v>0.71</v>
      </c>
      <c r="D61" s="16" t="n">
        <v>0.35</v>
      </c>
    </row>
    <row r="62" customFormat="false" ht="15" hidden="false" customHeight="false" outlineLevel="0" collapsed="false">
      <c r="A62" s="15" t="s">
        <v>167</v>
      </c>
      <c r="B62" s="16" t="n">
        <v>0.21</v>
      </c>
      <c r="C62" s="16" t="n">
        <v>0.38</v>
      </c>
      <c r="D62" s="16" t="n">
        <v>0.19</v>
      </c>
    </row>
    <row r="63" customFormat="false" ht="15" hidden="false" customHeight="false" outlineLevel="0" collapsed="false">
      <c r="A63" s="15" t="s">
        <v>168</v>
      </c>
      <c r="B63" s="22" t="n">
        <v>5600</v>
      </c>
      <c r="C63" s="22" t="n">
        <v>19900</v>
      </c>
      <c r="D63" s="22" t="n">
        <v>1780</v>
      </c>
    </row>
    <row r="64" customFormat="false" ht="15" hidden="false" customHeight="false" outlineLevel="0" collapsed="false">
      <c r="A64" s="15" t="s">
        <v>169</v>
      </c>
      <c r="B64" s="23" t="n">
        <f aca="false">B63-B56</f>
        <v>4410</v>
      </c>
      <c r="C64" s="23" t="n">
        <f aca="false">C63-C56</f>
        <v>12350</v>
      </c>
      <c r="D64" s="23" t="n">
        <f aca="false">D63-D56</f>
        <v>1425</v>
      </c>
      <c r="F64" s="17" t="s">
        <v>170</v>
      </c>
    </row>
    <row r="65" customFormat="false" ht="15" hidden="false" customHeight="false" outlineLevel="0" collapsed="false">
      <c r="A65" s="15" t="s">
        <v>171</v>
      </c>
      <c r="B65" s="22" t="n">
        <v>4100</v>
      </c>
      <c r="C65" s="22" t="n">
        <v>15300</v>
      </c>
      <c r="D65" s="22" t="n">
        <v>1350</v>
      </c>
    </row>
    <row r="66" customFormat="false" ht="15" hidden="false" customHeight="false" outlineLevel="0" collapsed="false">
      <c r="A66" s="15" t="s">
        <v>172</v>
      </c>
      <c r="B66" s="21" t="n">
        <v>0.2099</v>
      </c>
      <c r="C66" s="21" t="n">
        <v>0.2299</v>
      </c>
      <c r="D66" s="21" t="n">
        <v>0.1999</v>
      </c>
    </row>
    <row r="67" customFormat="false" ht="15" hidden="false" customHeight="false" outlineLevel="0" collapsed="false">
      <c r="A67" s="15" t="s">
        <v>173</v>
      </c>
      <c r="B67" s="16" t="n">
        <v>0.016</v>
      </c>
      <c r="C67" s="16" t="n">
        <v>0.038</v>
      </c>
      <c r="D67" s="16" t="n">
        <v>0.011</v>
      </c>
    </row>
    <row r="68" customFormat="false" ht="15" hidden="false" customHeight="false" outlineLevel="0" collapsed="false">
      <c r="A68" s="15" t="s">
        <v>174</v>
      </c>
      <c r="B68" s="16" t="n">
        <v>0.008</v>
      </c>
      <c r="C68" s="16" t="n">
        <v>0.024</v>
      </c>
      <c r="D68" s="16" t="n">
        <v>0.005</v>
      </c>
    </row>
    <row r="69" customFormat="false" ht="15" hidden="false" customHeight="false" outlineLevel="0" collapsed="false">
      <c r="A69" s="15" t="s">
        <v>175</v>
      </c>
      <c r="B69" s="16" t="n">
        <v>0.019</v>
      </c>
      <c r="C69" s="16" t="n">
        <v>0.046</v>
      </c>
      <c r="D69" s="16" t="n">
        <v>0.012</v>
      </c>
    </row>
    <row r="70" customFormat="false" ht="15" hidden="false" customHeight="false" outlineLevel="0" collapsed="false">
      <c r="A70" s="15" t="s">
        <v>176</v>
      </c>
      <c r="B70" s="16" t="n">
        <v>0.92</v>
      </c>
      <c r="C70" s="16" t="n">
        <v>0.81</v>
      </c>
      <c r="D70" s="16" t="n">
        <v>0.95</v>
      </c>
    </row>
    <row r="71" customFormat="false" ht="15" hidden="false" customHeight="false" outlineLevel="0" collapsed="false">
      <c r="A71" s="15" t="s">
        <v>177</v>
      </c>
      <c r="B71" s="16" t="n">
        <v>0.063</v>
      </c>
      <c r="C71" s="16" t="n">
        <v>0.125</v>
      </c>
      <c r="D71" s="16" t="n">
        <v>0.04</v>
      </c>
    </row>
    <row r="72" customFormat="false" ht="15" hidden="false" customHeight="false" outlineLevel="0" collapsed="false">
      <c r="A72" s="15" t="s">
        <v>178</v>
      </c>
      <c r="B72" s="16" t="n">
        <v>0.017</v>
      </c>
      <c r="C72" s="16" t="n">
        <v>0.065</v>
      </c>
      <c r="D72" s="16" t="n">
        <v>0.01</v>
      </c>
    </row>
    <row r="73" customFormat="false" ht="15" hidden="false" customHeight="false" outlineLevel="0" collapsed="false">
      <c r="A73" s="15" t="s">
        <v>179</v>
      </c>
      <c r="B73" s="16" t="n">
        <v>0.021</v>
      </c>
      <c r="C73" s="16" t="n">
        <v>0.054</v>
      </c>
      <c r="D73" s="16" t="n">
        <v>0.014</v>
      </c>
    </row>
    <row r="74" customFormat="false" ht="15" hidden="false" customHeight="false" outlineLevel="0" collapsed="false">
      <c r="A74" s="15" t="s">
        <v>180</v>
      </c>
      <c r="B74" s="16" t="n">
        <v>0.82</v>
      </c>
      <c r="C74" s="16" t="n">
        <v>0.86</v>
      </c>
      <c r="D74" s="16" t="n">
        <v>0.78</v>
      </c>
    </row>
    <row r="75" customFormat="false" ht="15" hidden="false" customHeight="false" outlineLevel="0" collapsed="false">
      <c r="A75" s="15" t="s">
        <v>181</v>
      </c>
      <c r="B75" s="25" t="n">
        <f aca="false">B73*B74*B56</f>
        <v>20.4918</v>
      </c>
      <c r="C75" s="25" t="n">
        <f aca="false">C73*C74*C56</f>
        <v>350.622</v>
      </c>
      <c r="D75" s="25" t="n">
        <f aca="false">D73*D74*D56</f>
        <v>3.8766</v>
      </c>
    </row>
    <row r="76" customFormat="false" ht="15" hidden="false" customHeight="false" outlineLevel="0" collapsed="false">
      <c r="A76" s="15" t="s">
        <v>182</v>
      </c>
      <c r="B76" s="25" t="n">
        <f aca="false">B64*'Cover &amp; Assumptions'!$B$27*'Cover &amp; Assumptions'!$B$28</f>
        <v>330.75</v>
      </c>
      <c r="C76" s="25" t="n">
        <f aca="false">C64*'Cover &amp; Assumptions'!$B$27*'Cover &amp; Assumptions'!$B$28</f>
        <v>926.25</v>
      </c>
      <c r="D76" s="25" t="n">
        <f aca="false">D64*'Cover &amp; Assumptions'!$B$27*'Cover &amp; Assumptions'!$B$28</f>
        <v>106.875</v>
      </c>
      <c r="F76" s="17" t="s">
        <v>183</v>
      </c>
    </row>
    <row r="78" customFormat="false" ht="15" hidden="false" customHeight="false" outlineLevel="0" collapsed="false">
      <c r="A78" s="7" t="s">
        <v>184</v>
      </c>
      <c r="B78" s="4"/>
      <c r="C78" s="4"/>
      <c r="D78" s="4"/>
      <c r="E78" s="4"/>
      <c r="F78" s="4"/>
    </row>
    <row r="79" customFormat="false" ht="27.75" hidden="false" customHeight="true" outlineLevel="0" collapsed="false">
      <c r="A79" s="13" t="s">
        <v>185</v>
      </c>
      <c r="B79" s="14" t="s">
        <v>38</v>
      </c>
      <c r="C79" s="14" t="s">
        <v>39</v>
      </c>
      <c r="D79" s="14" t="s">
        <v>40</v>
      </c>
      <c r="E79" s="14"/>
      <c r="F79" s="14" t="s">
        <v>117</v>
      </c>
    </row>
    <row r="80" customFormat="false" ht="15" hidden="false" customHeight="false" outlineLevel="0" collapsed="false">
      <c r="A80" s="15" t="s">
        <v>186</v>
      </c>
      <c r="B80" s="34" t="n">
        <f aca="false">B42/B24</f>
        <v>0.125127272727273</v>
      </c>
      <c r="C80" s="34" t="n">
        <f aca="false">C42/C24</f>
        <v>0.387266666666667</v>
      </c>
      <c r="D80" s="34" t="n">
        <f aca="false">D42/D24</f>
        <v>0.0925</v>
      </c>
      <c r="F80" s="17" t="s">
        <v>187</v>
      </c>
    </row>
    <row r="81" customFormat="false" ht="15" hidden="false" customHeight="false" outlineLevel="0" collapsed="false">
      <c r="A81" s="15" t="s">
        <v>188</v>
      </c>
      <c r="B81" s="37" t="n">
        <f aca="false">B42/B18</f>
        <v>0.0100712195121951</v>
      </c>
      <c r="C81" s="37" t="n">
        <f aca="false">C42/C18</f>
        <v>0.0335134615384615</v>
      </c>
      <c r="D81" s="37" t="n">
        <f aca="false">D42/D18</f>
        <v>0.00755102040816327</v>
      </c>
    </row>
    <row r="82" customFormat="false" ht="15" hidden="false" customHeight="false" outlineLevel="0" collapsed="false">
      <c r="A82" s="15" t="s">
        <v>189</v>
      </c>
      <c r="B82" s="34" t="n">
        <f aca="false">B39/B37</f>
        <v>0.543933054393305</v>
      </c>
      <c r="C82" s="34" t="n">
        <f aca="false">C39/C37</f>
        <v>0.427807486631016</v>
      </c>
      <c r="D82" s="34" t="n">
        <f aca="false">D39/D37</f>
        <v>0.631067961165049</v>
      </c>
    </row>
    <row r="83" customFormat="false" ht="15" hidden="false" customHeight="false" outlineLevel="0" collapsed="false">
      <c r="A83" s="15" t="s">
        <v>190</v>
      </c>
      <c r="B83" s="21" t="n">
        <v>0.0249</v>
      </c>
      <c r="C83" s="21" t="n">
        <v>0.15</v>
      </c>
      <c r="D83" s="21" t="n">
        <v>0.0273</v>
      </c>
      <c r="F83" s="17" t="s">
        <v>191</v>
      </c>
    </row>
    <row r="84" customFormat="false" ht="15" hidden="false" customHeight="false" outlineLevel="0" collapsed="false">
      <c r="A84" s="15" t="s">
        <v>192</v>
      </c>
      <c r="B84" s="38" t="n">
        <f aca="false">B42/'Cover &amp; Assumptions'!$B$24</f>
        <v>3.441</v>
      </c>
    </row>
    <row r="85" customFormat="false" ht="15" hidden="false" customHeight="false" outlineLevel="0" collapsed="false">
      <c r="A85" s="15" t="s">
        <v>193</v>
      </c>
      <c r="B85" s="38" t="n">
        <f aca="false">B24/'Cover &amp; Assumptions'!$B$24</f>
        <v>27.5</v>
      </c>
    </row>
    <row r="86" customFormat="false" ht="15" hidden="false" customHeight="false" outlineLevel="0" collapsed="false">
      <c r="A86" s="15" t="s">
        <v>194</v>
      </c>
      <c r="B86" s="23" t="n">
        <f aca="false">'Cover &amp; Assumptions'!$B$24*'Cover &amp; Assumptions'!$B$23</f>
        <v>5280</v>
      </c>
    </row>
    <row r="87" customFormat="false" ht="15" hidden="false" customHeight="false" outlineLevel="0" collapsed="false">
      <c r="A87" s="15" t="s">
        <v>195</v>
      </c>
      <c r="B87" s="39" t="n">
        <f aca="false">'Cover &amp; Assumptions'!$B$23/B85</f>
        <v>1.6</v>
      </c>
    </row>
    <row r="88" customFormat="false" ht="15" hidden="false" customHeight="false" outlineLevel="0" collapsed="false">
      <c r="A88" s="15" t="s">
        <v>196</v>
      </c>
      <c r="B88" s="39" t="n">
        <f aca="false">'Cover &amp; Assumptions'!$B$23/B84</f>
        <v>12.786980528916</v>
      </c>
    </row>
    <row r="90" customFormat="false" ht="15" hidden="false" customHeight="false" outlineLevel="0" collapsed="false">
      <c r="A90" s="7" t="s">
        <v>197</v>
      </c>
      <c r="B90" s="4"/>
      <c r="C90" s="4"/>
      <c r="D90" s="4"/>
      <c r="E90" s="4"/>
      <c r="F90" s="4"/>
    </row>
    <row r="91" customFormat="false" ht="27.75" hidden="false" customHeight="true" outlineLevel="0" collapsed="false">
      <c r="A91" s="13" t="s">
        <v>198</v>
      </c>
      <c r="B91" s="14" t="s">
        <v>199</v>
      </c>
      <c r="C91" s="14" t="s">
        <v>200</v>
      </c>
      <c r="D91" s="14" t="s">
        <v>201</v>
      </c>
      <c r="E91" s="14"/>
      <c r="F91" s="14" t="s">
        <v>202</v>
      </c>
    </row>
    <row r="92" customFormat="false" ht="15" hidden="false" customHeight="false" outlineLevel="0" collapsed="false">
      <c r="A92" s="27" t="s">
        <v>203</v>
      </c>
    </row>
    <row r="93" customFormat="false" ht="15" hidden="false" customHeight="false" outlineLevel="0" collapsed="false">
      <c r="A93" s="40" t="s">
        <v>204</v>
      </c>
      <c r="B93" s="23" t="n">
        <f aca="false">D93/(1+'Cover &amp; Assumptions'!$B$38)^2</f>
        <v>1059.09576361695</v>
      </c>
      <c r="C93" s="23" t="n">
        <f aca="false">D93/(1+'Cover &amp; Assumptions'!$B$38)</f>
        <v>1122.64150943396</v>
      </c>
      <c r="D93" s="22" t="n">
        <v>1190</v>
      </c>
    </row>
    <row r="94" customFormat="false" ht="15" hidden="false" customHeight="false" outlineLevel="0" collapsed="false">
      <c r="A94" s="40" t="s">
        <v>174</v>
      </c>
      <c r="B94" s="21" t="n">
        <v>0.009</v>
      </c>
      <c r="C94" s="21" t="n">
        <v>0.0085</v>
      </c>
      <c r="D94" s="21" t="n">
        <v>0.008</v>
      </c>
      <c r="F94" s="17" t="s">
        <v>205</v>
      </c>
    </row>
    <row r="95" customFormat="false" ht="15" hidden="false" customHeight="false" outlineLevel="0" collapsed="false">
      <c r="A95" s="40" t="s">
        <v>175</v>
      </c>
      <c r="B95" s="21" t="n">
        <v>0.02</v>
      </c>
      <c r="C95" s="21" t="n">
        <v>0.0195</v>
      </c>
      <c r="D95" s="21" t="n">
        <v>0.019</v>
      </c>
      <c r="F95" s="17" t="s">
        <v>205</v>
      </c>
    </row>
    <row r="96" customFormat="false" ht="15" hidden="false" customHeight="false" outlineLevel="0" collapsed="false">
      <c r="A96" s="40" t="s">
        <v>151</v>
      </c>
      <c r="B96" s="16" t="n">
        <v>0.132</v>
      </c>
      <c r="C96" s="16" t="n">
        <v>0.134</v>
      </c>
      <c r="D96" s="16" t="n">
        <v>0.135</v>
      </c>
      <c r="F96" s="17" t="s">
        <v>206</v>
      </c>
    </row>
    <row r="97" customFormat="false" ht="15" hidden="false" customHeight="false" outlineLevel="0" collapsed="false">
      <c r="A97" s="27" t="s">
        <v>207</v>
      </c>
    </row>
    <row r="98" customFormat="false" ht="15" hidden="false" customHeight="false" outlineLevel="0" collapsed="false">
      <c r="A98" s="40" t="s">
        <v>204</v>
      </c>
      <c r="B98" s="22" t="n">
        <v>4910</v>
      </c>
      <c r="C98" s="22" t="n">
        <v>6090</v>
      </c>
      <c r="D98" s="22" t="n">
        <v>7550</v>
      </c>
      <c r="F98" s="17" t="s">
        <v>208</v>
      </c>
    </row>
    <row r="99" customFormat="false" ht="15" hidden="false" customHeight="false" outlineLevel="0" collapsed="false">
      <c r="A99" s="40" t="s">
        <v>171</v>
      </c>
      <c r="B99" s="22" t="n">
        <v>10113</v>
      </c>
      <c r="C99" s="22" t="n">
        <v>12439</v>
      </c>
      <c r="D99" s="22" t="n">
        <v>15300</v>
      </c>
      <c r="F99" s="17" t="s">
        <v>209</v>
      </c>
    </row>
    <row r="100" customFormat="false" ht="15" hidden="false" customHeight="false" outlineLevel="0" collapsed="false">
      <c r="A100" s="40" t="s">
        <v>210</v>
      </c>
      <c r="B100" s="22" t="n">
        <v>214</v>
      </c>
      <c r="C100" s="22" t="n">
        <v>287</v>
      </c>
      <c r="D100" s="22" t="n">
        <v>385</v>
      </c>
      <c r="F100" s="17" t="s">
        <v>211</v>
      </c>
    </row>
    <row r="101" customFormat="false" ht="15" hidden="false" customHeight="false" outlineLevel="0" collapsed="false">
      <c r="A101" s="40" t="s">
        <v>212</v>
      </c>
      <c r="B101" s="37" t="n">
        <f aca="false">B100/B98</f>
        <v>0.0435845213849287</v>
      </c>
      <c r="C101" s="37" t="n">
        <f aca="false">C100/C98</f>
        <v>0.0471264367816092</v>
      </c>
      <c r="D101" s="37" t="n">
        <f aca="false">D100/D98</f>
        <v>0.0509933774834437</v>
      </c>
      <c r="F101" s="17" t="s">
        <v>213</v>
      </c>
    </row>
    <row r="102" customFormat="false" ht="15" hidden="false" customHeight="false" outlineLevel="0" collapsed="false">
      <c r="A102" s="40" t="s">
        <v>174</v>
      </c>
      <c r="B102" s="21" t="n">
        <v>0.015</v>
      </c>
      <c r="C102" s="21" t="n">
        <v>0.019</v>
      </c>
      <c r="D102" s="21" t="n">
        <v>0.024</v>
      </c>
      <c r="F102" s="17" t="s">
        <v>214</v>
      </c>
    </row>
    <row r="103" customFormat="false" ht="15" hidden="false" customHeight="false" outlineLevel="0" collapsed="false">
      <c r="A103" s="40" t="s">
        <v>175</v>
      </c>
      <c r="B103" s="21" t="n">
        <v>0.03</v>
      </c>
      <c r="C103" s="21" t="n">
        <v>0.037</v>
      </c>
      <c r="D103" s="21" t="n">
        <v>0.046</v>
      </c>
      <c r="F103" s="17" t="s">
        <v>214</v>
      </c>
    </row>
    <row r="104" customFormat="false" ht="15" hidden="false" customHeight="false" outlineLevel="0" collapsed="false">
      <c r="A104" s="40" t="s">
        <v>151</v>
      </c>
      <c r="B104" s="16" t="n">
        <v>0.135</v>
      </c>
      <c r="C104" s="16" t="n">
        <v>0.124</v>
      </c>
      <c r="D104" s="16" t="n">
        <v>0.115</v>
      </c>
      <c r="F104" s="17" t="s">
        <v>215</v>
      </c>
    </row>
    <row r="105" customFormat="false" ht="15" hidden="false" customHeight="false" outlineLevel="0" collapsed="false">
      <c r="A105" s="27" t="s">
        <v>216</v>
      </c>
    </row>
    <row r="106" customFormat="false" ht="15" hidden="false" customHeight="false" outlineLevel="0" collapsed="false">
      <c r="A106" s="40" t="s">
        <v>204</v>
      </c>
      <c r="B106" s="23" t="n">
        <f aca="false">D106/(1+'Cover &amp; Assumptions'!$D$38)^2</f>
        <v>328.217455621302</v>
      </c>
      <c r="C106" s="23" t="n">
        <f aca="false">D106/(1+'Cover &amp; Assumptions'!$D$38)</f>
        <v>341.346153846154</v>
      </c>
      <c r="D106" s="22" t="n">
        <v>355</v>
      </c>
    </row>
    <row r="107" customFormat="false" ht="15" hidden="false" customHeight="false" outlineLevel="0" collapsed="false">
      <c r="A107" s="40" t="s">
        <v>174</v>
      </c>
      <c r="B107" s="21" t="n">
        <v>0.005</v>
      </c>
      <c r="C107" s="21" t="n">
        <v>0.005</v>
      </c>
      <c r="D107" s="21" t="n">
        <v>0.005</v>
      </c>
      <c r="F107" s="17" t="s">
        <v>217</v>
      </c>
    </row>
    <row r="108" customFormat="false" ht="15" hidden="false" customHeight="false" outlineLevel="0" collapsed="false">
      <c r="A108" s="40" t="s">
        <v>175</v>
      </c>
      <c r="B108" s="21" t="n">
        <v>0.012</v>
      </c>
      <c r="C108" s="21" t="n">
        <v>0.012</v>
      </c>
      <c r="D108" s="21" t="n">
        <v>0.012</v>
      </c>
      <c r="F108" s="17" t="s">
        <v>217</v>
      </c>
    </row>
    <row r="109" customFormat="false" ht="15" hidden="false" customHeight="false" outlineLevel="0" collapsed="false">
      <c r="A109" s="40" t="s">
        <v>151</v>
      </c>
      <c r="B109" s="16" t="n">
        <v>0.165</v>
      </c>
      <c r="C109" s="16" t="n">
        <v>0.168</v>
      </c>
      <c r="D109" s="16" t="n">
        <v>0.171</v>
      </c>
      <c r="F109" s="17" t="s">
        <v>218</v>
      </c>
    </row>
    <row r="110" customFormat="false" ht="15" hidden="false" customHeight="false" outlineLevel="0" collapsed="false">
      <c r="A110" s="17" t="s">
        <v>219</v>
      </c>
    </row>
    <row r="112" customFormat="false" ht="15" hidden="false" customHeight="false" outlineLevel="0" collapsed="false">
      <c r="A112" s="7" t="s">
        <v>220</v>
      </c>
      <c r="B112" s="4"/>
      <c r="C112" s="4"/>
      <c r="D112" s="4"/>
      <c r="E112" s="4"/>
      <c r="F112" s="4"/>
    </row>
    <row r="113" customFormat="false" ht="27.75" hidden="false" customHeight="true" outlineLevel="0" collapsed="false">
      <c r="A113" s="13" t="s">
        <v>113</v>
      </c>
      <c r="B113" s="14" t="s">
        <v>201</v>
      </c>
      <c r="C113" s="14" t="s">
        <v>221</v>
      </c>
      <c r="D113" s="14" t="s">
        <v>222</v>
      </c>
      <c r="E113" s="14" t="s">
        <v>223</v>
      </c>
      <c r="F113" s="14" t="s">
        <v>117</v>
      </c>
    </row>
    <row r="114" customFormat="false" ht="15" hidden="false" customHeight="false" outlineLevel="0" collapsed="false">
      <c r="A114" s="27" t="s">
        <v>224</v>
      </c>
    </row>
    <row r="115" customFormat="false" ht="15" hidden="false" customHeight="false" outlineLevel="0" collapsed="false">
      <c r="A115" s="40" t="s">
        <v>137</v>
      </c>
      <c r="B115" s="25" t="n">
        <f aca="false">$B$31</f>
        <v>1780</v>
      </c>
      <c r="C115" s="25" t="n">
        <f aca="false">B115*(1+'Cover &amp; Assumptions'!$B$34)</f>
        <v>1860.1</v>
      </c>
      <c r="D115" s="25" t="n">
        <f aca="false">C115*(1+'Cover &amp; Assumptions'!$B$34)</f>
        <v>1943.8045</v>
      </c>
      <c r="E115" s="25" t="n">
        <f aca="false">D115*(1+'Cover &amp; Assumptions'!$B$34)</f>
        <v>2031.2757025</v>
      </c>
    </row>
    <row r="116" customFormat="false" ht="15" hidden="false" customHeight="false" outlineLevel="0" collapsed="false">
      <c r="A116" s="40" t="s">
        <v>138</v>
      </c>
      <c r="B116" s="25" t="n">
        <f aca="false">$B$32</f>
        <v>820</v>
      </c>
      <c r="C116" s="25" t="n">
        <f aca="false">B116*(1+'Cover &amp; Assumptions'!$B$34)</f>
        <v>856.9</v>
      </c>
      <c r="D116" s="25" t="n">
        <f aca="false">C116*(1+'Cover &amp; Assumptions'!$B$34)</f>
        <v>895.4605</v>
      </c>
      <c r="E116" s="25" t="n">
        <f aca="false">D116*(1+'Cover &amp; Assumptions'!$B$34)</f>
        <v>935.7562225</v>
      </c>
    </row>
    <row r="117" customFormat="false" ht="15" hidden="false" customHeight="false" outlineLevel="0" collapsed="false">
      <c r="A117" s="40" t="s">
        <v>139</v>
      </c>
      <c r="B117" s="41" t="n">
        <f aca="false">B115-B116</f>
        <v>960</v>
      </c>
      <c r="C117" s="41" t="n">
        <f aca="false">C115-C116</f>
        <v>1003.2</v>
      </c>
      <c r="D117" s="41" t="n">
        <f aca="false">D115-D116</f>
        <v>1048.344</v>
      </c>
      <c r="E117" s="41" t="n">
        <f aca="false">E115-E116</f>
        <v>1095.51948</v>
      </c>
    </row>
    <row r="118" customFormat="false" ht="15" hidden="false" customHeight="false" outlineLevel="0" collapsed="false">
      <c r="A118" s="40" t="s">
        <v>44</v>
      </c>
      <c r="B118" s="25" t="n">
        <f aca="false">$B$36</f>
        <v>474</v>
      </c>
      <c r="C118" s="25" t="n">
        <f aca="false">B118*(1+'Cover &amp; Assumptions'!$B$35)</f>
        <v>495.33</v>
      </c>
      <c r="D118" s="25" t="n">
        <f aca="false">C118*(1+'Cover &amp; Assumptions'!$B$35)</f>
        <v>517.61985</v>
      </c>
      <c r="E118" s="25" t="n">
        <f aca="false">D118*(1+'Cover &amp; Assumptions'!$B$35)</f>
        <v>540.91274325</v>
      </c>
    </row>
    <row r="119" customFormat="false" ht="15" hidden="false" customHeight="false" outlineLevel="0" collapsed="false">
      <c r="A119" s="42" t="s">
        <v>143</v>
      </c>
      <c r="B119" s="28" t="n">
        <f aca="false">B117+B118</f>
        <v>1434</v>
      </c>
      <c r="C119" s="28" t="n">
        <f aca="false">C117+C118</f>
        <v>1498.53</v>
      </c>
      <c r="D119" s="28" t="n">
        <f aca="false">D117+D118</f>
        <v>1565.96385</v>
      </c>
      <c r="E119" s="28" t="n">
        <f aca="false">E117+E118</f>
        <v>1636.43222325</v>
      </c>
    </row>
    <row r="120" customFormat="false" ht="15" hidden="false" customHeight="false" outlineLevel="0" collapsed="false">
      <c r="A120" s="40" t="s">
        <v>46</v>
      </c>
      <c r="B120" s="25" t="n">
        <f aca="false">$B$38</f>
        <v>96</v>
      </c>
      <c r="C120" s="25" t="n">
        <f aca="false">B120*(1+'Cover &amp; Assumptions'!$B$36)</f>
        <v>100.8</v>
      </c>
      <c r="D120" s="25" t="n">
        <f aca="false">C120*(1+'Cover &amp; Assumptions'!$B$36)</f>
        <v>105.84</v>
      </c>
      <c r="E120" s="25" t="n">
        <f aca="false">D120*(1+'Cover &amp; Assumptions'!$B$36)</f>
        <v>111.132</v>
      </c>
    </row>
    <row r="121" customFormat="false" ht="15" hidden="false" customHeight="false" outlineLevel="0" collapsed="false">
      <c r="A121" s="40" t="s">
        <v>48</v>
      </c>
      <c r="B121" s="25" t="n">
        <f aca="false">$B$39</f>
        <v>780</v>
      </c>
      <c r="C121" s="25" t="n">
        <f aca="false">B121*(1+'Cover &amp; Assumptions'!$B$37)</f>
        <v>807.3</v>
      </c>
      <c r="D121" s="25" t="n">
        <f aca="false">C121*(1+'Cover &amp; Assumptions'!$B$37)</f>
        <v>835.5555</v>
      </c>
      <c r="E121" s="25" t="n">
        <f aca="false">D121*(1+'Cover &amp; Assumptions'!$B$37)</f>
        <v>864.7999425</v>
      </c>
    </row>
    <row r="122" customFormat="false" ht="15" hidden="false" customHeight="false" outlineLevel="0" collapsed="false">
      <c r="A122" s="42" t="s">
        <v>145</v>
      </c>
      <c r="B122" s="43" t="n">
        <f aca="false">B119-B120-B121</f>
        <v>558</v>
      </c>
      <c r="C122" s="43" t="n">
        <f aca="false">C119-C120-C121</f>
        <v>590.43</v>
      </c>
      <c r="D122" s="43" t="n">
        <f aca="false">D119-D120-D121</f>
        <v>624.56835</v>
      </c>
      <c r="E122" s="43" t="n">
        <f aca="false">E119-E120-E121</f>
        <v>660.50028075</v>
      </c>
    </row>
    <row r="123" customFormat="false" ht="15" hidden="false" customHeight="false" outlineLevel="0" collapsed="false">
      <c r="A123" s="42" t="s">
        <v>147</v>
      </c>
      <c r="B123" s="44" t="n">
        <f aca="false">B122*(1-'Cover &amp; Assumptions'!$B$20)</f>
        <v>412.92</v>
      </c>
      <c r="C123" s="44" t="n">
        <f aca="false">C122*(1-'Cover &amp; Assumptions'!$B$20)</f>
        <v>436.9182</v>
      </c>
      <c r="D123" s="44" t="n">
        <f aca="false">D122*(1-'Cover &amp; Assumptions'!$B$20)</f>
        <v>462.180579</v>
      </c>
      <c r="E123" s="44" t="n">
        <f aca="false">E122*(1-'Cover &amp; Assumptions'!$B$20)</f>
        <v>488.770207755</v>
      </c>
    </row>
    <row r="124" customFormat="false" ht="15" hidden="false" customHeight="false" outlineLevel="0" collapsed="false">
      <c r="A124" s="40" t="s">
        <v>225</v>
      </c>
      <c r="B124" s="25" t="n">
        <f aca="false">$B$56</f>
        <v>1190</v>
      </c>
      <c r="C124" s="25" t="n">
        <f aca="false">B124*(1+'Cover &amp; Assumptions'!$B$38)</f>
        <v>1261.4</v>
      </c>
      <c r="D124" s="25" t="n">
        <f aca="false">C124*(1+'Cover &amp; Assumptions'!$B$38)</f>
        <v>1337.084</v>
      </c>
      <c r="E124" s="25" t="n">
        <f aca="false">D124*(1+'Cover &amp; Assumptions'!$B$38)</f>
        <v>1417.30904</v>
      </c>
    </row>
    <row r="125" customFormat="false" ht="15" hidden="false" customHeight="false" outlineLevel="0" collapsed="false">
      <c r="A125" s="40" t="s">
        <v>226</v>
      </c>
      <c r="B125" s="25" t="n">
        <f aca="false">$B$64</f>
        <v>4410</v>
      </c>
      <c r="C125" s="25" t="n">
        <f aca="false">B125*(1+'Cover &amp; Assumptions'!$B$38)</f>
        <v>4674.6</v>
      </c>
      <c r="D125" s="25" t="n">
        <f aca="false">C125*(1+'Cover &amp; Assumptions'!$B$38)</f>
        <v>4955.076</v>
      </c>
      <c r="E125" s="25" t="n">
        <f aca="false">D125*(1+'Cover &amp; Assumptions'!$B$38)</f>
        <v>5252.38056</v>
      </c>
    </row>
    <row r="127" customFormat="false" ht="15" hidden="false" customHeight="false" outlineLevel="0" collapsed="false">
      <c r="A127" s="27" t="s">
        <v>227</v>
      </c>
    </row>
    <row r="128" customFormat="false" ht="15" hidden="false" customHeight="false" outlineLevel="0" collapsed="false">
      <c r="A128" s="40" t="s">
        <v>137</v>
      </c>
      <c r="B128" s="25" t="n">
        <f aca="false">$C$31</f>
        <v>1540</v>
      </c>
      <c r="C128" s="25" t="n">
        <f aca="false">B128*(1+'Cover &amp; Assumptions'!$C$34)</f>
        <v>1694</v>
      </c>
      <c r="D128" s="25" t="n">
        <f aca="false">C128*(1+'Cover &amp; Assumptions'!$C$34)</f>
        <v>1863.4</v>
      </c>
      <c r="E128" s="25" t="n">
        <f aca="false">D128*(1+'Cover &amp; Assumptions'!$C$34)</f>
        <v>2049.74</v>
      </c>
    </row>
    <row r="129" customFormat="false" ht="15" hidden="false" customHeight="false" outlineLevel="0" collapsed="false">
      <c r="A129" s="40" t="s">
        <v>138</v>
      </c>
      <c r="B129" s="25" t="n">
        <f aca="false">$C$32</f>
        <v>290</v>
      </c>
      <c r="C129" s="25" t="n">
        <f aca="false">B129*(1+'Cover &amp; Assumptions'!$C$34)</f>
        <v>319</v>
      </c>
      <c r="D129" s="25" t="n">
        <f aca="false">C129*(1+'Cover &amp; Assumptions'!$C$34)</f>
        <v>350.9</v>
      </c>
      <c r="E129" s="25" t="n">
        <f aca="false">D129*(1+'Cover &amp; Assumptions'!$C$34)</f>
        <v>385.99</v>
      </c>
    </row>
    <row r="130" customFormat="false" ht="15" hidden="false" customHeight="false" outlineLevel="0" collapsed="false">
      <c r="A130" s="40" t="s">
        <v>139</v>
      </c>
      <c r="B130" s="41" t="n">
        <f aca="false">B128-B129</f>
        <v>1250</v>
      </c>
      <c r="C130" s="41" t="n">
        <f aca="false">C128-C129</f>
        <v>1375</v>
      </c>
      <c r="D130" s="41" t="n">
        <f aca="false">D128-D129</f>
        <v>1512.5</v>
      </c>
      <c r="E130" s="41" t="n">
        <f aca="false">E128-E129</f>
        <v>1663.75</v>
      </c>
    </row>
    <row r="131" customFormat="false" ht="15" hidden="false" customHeight="false" outlineLevel="0" collapsed="false">
      <c r="A131" s="40" t="s">
        <v>44</v>
      </c>
      <c r="B131" s="25" t="n">
        <f aca="false">$C$36</f>
        <v>246</v>
      </c>
      <c r="C131" s="25" t="n">
        <f aca="false">B131*(1+'Cover &amp; Assumptions'!$C$35)</f>
        <v>270.6</v>
      </c>
      <c r="D131" s="25" t="n">
        <f aca="false">C131*(1+'Cover &amp; Assumptions'!$C$35)</f>
        <v>297.66</v>
      </c>
      <c r="E131" s="25" t="n">
        <f aca="false">D131*(1+'Cover &amp; Assumptions'!$C$35)</f>
        <v>327.426</v>
      </c>
    </row>
    <row r="132" customFormat="false" ht="15" hidden="false" customHeight="false" outlineLevel="0" collapsed="false">
      <c r="A132" s="42" t="s">
        <v>143</v>
      </c>
      <c r="B132" s="28" t="n">
        <f aca="false">B130+B131</f>
        <v>1496</v>
      </c>
      <c r="C132" s="28" t="n">
        <f aca="false">C130+C131</f>
        <v>1645.6</v>
      </c>
      <c r="D132" s="28" t="n">
        <f aca="false">D130+D131</f>
        <v>1810.16</v>
      </c>
      <c r="E132" s="28" t="n">
        <f aca="false">E130+E131</f>
        <v>1991.176</v>
      </c>
    </row>
    <row r="133" customFormat="false" ht="15" hidden="false" customHeight="false" outlineLevel="0" collapsed="false">
      <c r="A133" s="40" t="s">
        <v>46</v>
      </c>
      <c r="B133" s="25" t="n">
        <f aca="false">$C$38</f>
        <v>385</v>
      </c>
      <c r="C133" s="25" t="n">
        <f aca="false">B133*(1+'Cover &amp; Assumptions'!$C$36)</f>
        <v>442.75</v>
      </c>
      <c r="D133" s="25" t="n">
        <f aca="false">C133*(1+'Cover &amp; Assumptions'!$C$36)</f>
        <v>509.1625</v>
      </c>
      <c r="E133" s="25" t="n">
        <f aca="false">D133*(1+'Cover &amp; Assumptions'!$C$36)</f>
        <v>585.536875</v>
      </c>
    </row>
    <row r="134" customFormat="false" ht="15" hidden="false" customHeight="false" outlineLevel="0" collapsed="false">
      <c r="A134" s="40" t="s">
        <v>48</v>
      </c>
      <c r="B134" s="25" t="n">
        <f aca="false">$C$39</f>
        <v>640</v>
      </c>
      <c r="C134" s="25" t="n">
        <f aca="false">B134*(1+'Cover &amp; Assumptions'!$C$37)</f>
        <v>678.4</v>
      </c>
      <c r="D134" s="25" t="n">
        <f aca="false">C134*(1+'Cover &amp; Assumptions'!$C$37)</f>
        <v>719.104</v>
      </c>
      <c r="E134" s="25" t="n">
        <f aca="false">D134*(1+'Cover &amp; Assumptions'!$C$37)</f>
        <v>762.25024</v>
      </c>
    </row>
    <row r="135" customFormat="false" ht="15" hidden="false" customHeight="false" outlineLevel="0" collapsed="false">
      <c r="A135" s="42" t="s">
        <v>145</v>
      </c>
      <c r="B135" s="43" t="n">
        <f aca="false">B132-B133-B134</f>
        <v>471</v>
      </c>
      <c r="C135" s="43" t="n">
        <f aca="false">C132-C133-C134</f>
        <v>524.45</v>
      </c>
      <c r="D135" s="43" t="n">
        <f aca="false">D132-D133-D134</f>
        <v>581.8935</v>
      </c>
      <c r="E135" s="43" t="n">
        <f aca="false">E132-E133-E134</f>
        <v>643.388885000001</v>
      </c>
    </row>
    <row r="136" customFormat="false" ht="15" hidden="false" customHeight="false" outlineLevel="0" collapsed="false">
      <c r="A136" s="42" t="s">
        <v>147</v>
      </c>
      <c r="B136" s="44" t="n">
        <f aca="false">B135*(1-'Cover &amp; Assumptions'!$B$20)</f>
        <v>348.54</v>
      </c>
      <c r="C136" s="44" t="n">
        <f aca="false">C135*(1-'Cover &amp; Assumptions'!$B$20)</f>
        <v>388.093</v>
      </c>
      <c r="D136" s="44" t="n">
        <f aca="false">D135*(1-'Cover &amp; Assumptions'!$B$20)</f>
        <v>430.60119</v>
      </c>
      <c r="E136" s="44" t="n">
        <f aca="false">E135*(1-'Cover &amp; Assumptions'!$B$20)</f>
        <v>476.107774900001</v>
      </c>
    </row>
    <row r="137" customFormat="false" ht="15" hidden="false" customHeight="false" outlineLevel="0" collapsed="false">
      <c r="A137" s="40" t="s">
        <v>225</v>
      </c>
      <c r="B137" s="25" t="n">
        <f aca="false">$C$56</f>
        <v>7550</v>
      </c>
      <c r="C137" s="25" t="n">
        <f aca="false">B137*(1+'Cover &amp; Assumptions'!$C$38)</f>
        <v>8305</v>
      </c>
      <c r="D137" s="25" t="n">
        <f aca="false">C137*(1+'Cover &amp; Assumptions'!$C$38)</f>
        <v>9135.5</v>
      </c>
      <c r="E137" s="25" t="n">
        <f aca="false">D137*(1+'Cover &amp; Assumptions'!$C$38)</f>
        <v>10049.05</v>
      </c>
    </row>
    <row r="138" customFormat="false" ht="15" hidden="false" customHeight="false" outlineLevel="0" collapsed="false">
      <c r="A138" s="40" t="s">
        <v>226</v>
      </c>
      <c r="B138" s="25" t="n">
        <f aca="false">$C$64</f>
        <v>12350</v>
      </c>
      <c r="C138" s="25" t="n">
        <f aca="false">B138*(1+'Cover &amp; Assumptions'!$C$38)</f>
        <v>13585</v>
      </c>
      <c r="D138" s="25" t="n">
        <f aca="false">C138*(1+'Cover &amp; Assumptions'!$C$38)</f>
        <v>14943.5</v>
      </c>
      <c r="E138" s="25" t="n">
        <f aca="false">D138*(1+'Cover &amp; Assumptions'!$C$38)</f>
        <v>16437.85</v>
      </c>
    </row>
    <row r="140" customFormat="false" ht="15" hidden="false" customHeight="false" outlineLevel="0" collapsed="false">
      <c r="A140" s="27" t="s">
        <v>228</v>
      </c>
    </row>
    <row r="141" customFormat="false" ht="15" hidden="false" customHeight="false" outlineLevel="0" collapsed="false">
      <c r="A141" s="40" t="s">
        <v>137</v>
      </c>
      <c r="B141" s="25" t="n">
        <f aca="false">$D$31</f>
        <v>415</v>
      </c>
      <c r="C141" s="25" t="n">
        <f aca="false">B141*(1+'Cover &amp; Assumptions'!$D$34)</f>
        <v>427.45</v>
      </c>
      <c r="D141" s="25" t="n">
        <f aca="false">C141*(1+'Cover &amp; Assumptions'!$D$34)</f>
        <v>440.2735</v>
      </c>
      <c r="E141" s="25" t="n">
        <f aca="false">D141*(1+'Cover &amp; Assumptions'!$D$34)</f>
        <v>453.481705</v>
      </c>
    </row>
    <row r="142" customFormat="false" ht="15" hidden="false" customHeight="false" outlineLevel="0" collapsed="false">
      <c r="A142" s="40" t="s">
        <v>138</v>
      </c>
      <c r="B142" s="25" t="n">
        <f aca="false">$D$32</f>
        <v>165</v>
      </c>
      <c r="C142" s="25" t="n">
        <f aca="false">B142*(1+'Cover &amp; Assumptions'!$D$34)</f>
        <v>169.95</v>
      </c>
      <c r="D142" s="25" t="n">
        <f aca="false">C142*(1+'Cover &amp; Assumptions'!$D$34)</f>
        <v>175.0485</v>
      </c>
      <c r="E142" s="25" t="n">
        <f aca="false">D142*(1+'Cover &amp; Assumptions'!$D$34)</f>
        <v>180.299955</v>
      </c>
    </row>
    <row r="143" customFormat="false" ht="15" hidden="false" customHeight="false" outlineLevel="0" collapsed="false">
      <c r="A143" s="40" t="s">
        <v>139</v>
      </c>
      <c r="B143" s="41" t="n">
        <f aca="false">B141-B142</f>
        <v>250</v>
      </c>
      <c r="C143" s="41" t="n">
        <f aca="false">C141-C142</f>
        <v>257.5</v>
      </c>
      <c r="D143" s="41" t="n">
        <f aca="false">D141-D142</f>
        <v>265.225</v>
      </c>
      <c r="E143" s="41" t="n">
        <f aca="false">E141-E142</f>
        <v>273.18175</v>
      </c>
    </row>
    <row r="144" customFormat="false" ht="15" hidden="false" customHeight="false" outlineLevel="0" collapsed="false">
      <c r="A144" s="40" t="s">
        <v>44</v>
      </c>
      <c r="B144" s="25" t="n">
        <f aca="false">$D$36</f>
        <v>59</v>
      </c>
      <c r="C144" s="25" t="n">
        <f aca="false">B144*(1+'Cover &amp; Assumptions'!$D$35)</f>
        <v>60.77</v>
      </c>
      <c r="D144" s="25" t="n">
        <f aca="false">C144*(1+'Cover &amp; Assumptions'!$D$35)</f>
        <v>62.5931</v>
      </c>
      <c r="E144" s="25" t="n">
        <f aca="false">D144*(1+'Cover &amp; Assumptions'!$D$35)</f>
        <v>64.470893</v>
      </c>
    </row>
    <row r="145" customFormat="false" ht="15" hidden="false" customHeight="false" outlineLevel="0" collapsed="false">
      <c r="A145" s="42" t="s">
        <v>143</v>
      </c>
      <c r="B145" s="28" t="n">
        <f aca="false">B143+B144</f>
        <v>309</v>
      </c>
      <c r="C145" s="28" t="n">
        <f aca="false">C143+C144</f>
        <v>318.27</v>
      </c>
      <c r="D145" s="28" t="n">
        <f aca="false">D143+D144</f>
        <v>327.8181</v>
      </c>
      <c r="E145" s="28" t="n">
        <f aca="false">E143+E144</f>
        <v>337.652643</v>
      </c>
    </row>
    <row r="146" customFormat="false" ht="15" hidden="false" customHeight="false" outlineLevel="0" collapsed="false">
      <c r="A146" s="40" t="s">
        <v>46</v>
      </c>
      <c r="B146" s="25" t="n">
        <f aca="false">$D$38</f>
        <v>14</v>
      </c>
      <c r="C146" s="25" t="n">
        <f aca="false">B146*(1+'Cover &amp; Assumptions'!$D$36)</f>
        <v>14.56</v>
      </c>
      <c r="D146" s="25" t="n">
        <f aca="false">C146*(1+'Cover &amp; Assumptions'!$D$36)</f>
        <v>15.1424</v>
      </c>
      <c r="E146" s="25" t="n">
        <f aca="false">D146*(1+'Cover &amp; Assumptions'!$D$36)</f>
        <v>15.748096</v>
      </c>
    </row>
    <row r="147" customFormat="false" ht="15" hidden="false" customHeight="false" outlineLevel="0" collapsed="false">
      <c r="A147" s="40" t="s">
        <v>48</v>
      </c>
      <c r="B147" s="25" t="n">
        <f aca="false">$D$39</f>
        <v>195</v>
      </c>
      <c r="C147" s="25" t="n">
        <f aca="false">B147*(1+'Cover &amp; Assumptions'!$D$37)</f>
        <v>200.85</v>
      </c>
      <c r="D147" s="25" t="n">
        <f aca="false">C147*(1+'Cover &amp; Assumptions'!$D$37)</f>
        <v>206.8755</v>
      </c>
      <c r="E147" s="25" t="n">
        <f aca="false">D147*(1+'Cover &amp; Assumptions'!$D$37)</f>
        <v>213.081765</v>
      </c>
    </row>
    <row r="148" customFormat="false" ht="15" hidden="false" customHeight="false" outlineLevel="0" collapsed="false">
      <c r="A148" s="42" t="s">
        <v>145</v>
      </c>
      <c r="B148" s="43" t="n">
        <f aca="false">B145-B146-B147</f>
        <v>100</v>
      </c>
      <c r="C148" s="43" t="n">
        <f aca="false">C145-C146-C147</f>
        <v>102.86</v>
      </c>
      <c r="D148" s="43" t="n">
        <f aca="false">D145-D146-D147</f>
        <v>105.8002</v>
      </c>
      <c r="E148" s="43" t="n">
        <f aca="false">E145-E146-E147</f>
        <v>108.822782</v>
      </c>
    </row>
    <row r="149" customFormat="false" ht="15" hidden="false" customHeight="false" outlineLevel="0" collapsed="false">
      <c r="A149" s="42" t="s">
        <v>147</v>
      </c>
      <c r="B149" s="44" t="n">
        <f aca="false">B148*(1-'Cover &amp; Assumptions'!$B$20)</f>
        <v>74</v>
      </c>
      <c r="C149" s="44" t="n">
        <f aca="false">C148*(1-'Cover &amp; Assumptions'!$B$20)</f>
        <v>76.1164</v>
      </c>
      <c r="D149" s="44" t="n">
        <f aca="false">D148*(1-'Cover &amp; Assumptions'!$B$20)</f>
        <v>78.292148</v>
      </c>
      <c r="E149" s="44" t="n">
        <f aca="false">E148*(1-'Cover &amp; Assumptions'!$B$20)</f>
        <v>80.52885868</v>
      </c>
    </row>
    <row r="150" customFormat="false" ht="15" hidden="false" customHeight="false" outlineLevel="0" collapsed="false">
      <c r="A150" s="40" t="s">
        <v>225</v>
      </c>
      <c r="B150" s="25" t="n">
        <f aca="false">$D$56</f>
        <v>355</v>
      </c>
      <c r="C150" s="25" t="n">
        <f aca="false">B150*(1+'Cover &amp; Assumptions'!$D$38)</f>
        <v>369.2</v>
      </c>
      <c r="D150" s="25" t="n">
        <f aca="false">C150*(1+'Cover &amp; Assumptions'!$D$38)</f>
        <v>383.968</v>
      </c>
      <c r="E150" s="25" t="n">
        <f aca="false">D150*(1+'Cover &amp; Assumptions'!$D$38)</f>
        <v>399.32672</v>
      </c>
    </row>
    <row r="151" customFormat="false" ht="15" hidden="false" customHeight="false" outlineLevel="0" collapsed="false">
      <c r="A151" s="40" t="s">
        <v>226</v>
      </c>
      <c r="B151" s="25" t="n">
        <f aca="false">$D$64</f>
        <v>1425</v>
      </c>
      <c r="C151" s="25" t="n">
        <f aca="false">B151*(1+'Cover &amp; Assumptions'!$D$38)</f>
        <v>1482</v>
      </c>
      <c r="D151" s="25" t="n">
        <f aca="false">C151*(1+'Cover &amp; Assumptions'!$D$38)</f>
        <v>1541.28</v>
      </c>
      <c r="E151" s="25" t="n">
        <f aca="false">D151*(1+'Cover &amp; Assumptions'!$D$38)</f>
        <v>1602.9312</v>
      </c>
    </row>
    <row r="153" customFormat="false" ht="15" hidden="false" customHeight="false" outlineLevel="0" collapsed="false">
      <c r="A153" s="12" t="s">
        <v>229</v>
      </c>
      <c r="B153" s="45" t="n">
        <f aca="false">B133/B137</f>
        <v>0.0509933774834437</v>
      </c>
      <c r="C153" s="45" t="n">
        <f aca="false">C133/C137</f>
        <v>0.0533112582781457</v>
      </c>
      <c r="D153" s="45" t="n">
        <f aca="false">D133/D137</f>
        <v>0.0557344972907887</v>
      </c>
      <c r="E153" s="45" t="n">
        <f aca="false">E133/E137</f>
        <v>0.0582678835312791</v>
      </c>
      <c r="F153" s="17" t="s">
        <v>230</v>
      </c>
    </row>
    <row r="154" customFormat="false" ht="15" hidden="false" customHeight="false" outlineLevel="0" collapsed="false">
      <c r="A154" s="12" t="s">
        <v>231</v>
      </c>
      <c r="B154" s="46" t="n">
        <f aca="false">B123/'Cover &amp; Assumptions'!$B$24</f>
        <v>3.441</v>
      </c>
      <c r="C154" s="46" t="n">
        <f aca="false">C123/'Cover &amp; Assumptions'!$B$24</f>
        <v>3.640985</v>
      </c>
      <c r="D154" s="46" t="n">
        <f aca="false">D123/'Cover &amp; Assumptions'!$B$24</f>
        <v>3.851504825</v>
      </c>
      <c r="E154" s="46" t="n">
        <f aca="false">E123/'Cover &amp; Assumptions'!$B$24</f>
        <v>4.073085064625</v>
      </c>
      <c r="F154" s="17" t="s">
        <v>232</v>
      </c>
    </row>
    <row r="155" customFormat="false" ht="15" hidden="false" customHeight="false" outlineLevel="0" collapsed="false">
      <c r="A155" s="12" t="s">
        <v>233</v>
      </c>
      <c r="C155" s="47" t="n">
        <f aca="false">C123/B123-1</f>
        <v>0.0581182795698927</v>
      </c>
      <c r="D155" s="47" t="n">
        <f aca="false">D123/C123-1</f>
        <v>0.0578194705553574</v>
      </c>
      <c r="E155" s="47" t="n">
        <f aca="false">E123/D123-1</f>
        <v>0.0575308222871047</v>
      </c>
      <c r="F155" s="17" t="s">
        <v>234</v>
      </c>
    </row>
  </sheetData>
  <mergeCells count="1">
    <mergeCell ref="A5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5" min="2" style="0" width="15"/>
    <col collapsed="false" customWidth="true" hidden="false" outlineLevel="0" max="6" min="6" style="0" width="58"/>
  </cols>
  <sheetData>
    <row r="1" customFormat="false" ht="24" hidden="false" customHeight="true" outlineLevel="0" collapsed="false">
      <c r="A1" s="1" t="s">
        <v>235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236</v>
      </c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5" t="s">
        <v>237</v>
      </c>
    </row>
    <row r="5" customFormat="false" ht="15" hidden="false" customHeight="true" outlineLevel="0" collapsed="false">
      <c r="A5" s="6" t="s">
        <v>3</v>
      </c>
      <c r="B5" s="6"/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A6" s="6"/>
      <c r="B6" s="6"/>
      <c r="C6" s="6"/>
      <c r="D6" s="6"/>
      <c r="E6" s="6"/>
      <c r="F6" s="6"/>
      <c r="G6" s="6"/>
      <c r="H6" s="6"/>
    </row>
    <row r="9" customFormat="false" ht="15" hidden="false" customHeight="false" outlineLevel="0" collapsed="false">
      <c r="A9" s="7" t="s">
        <v>238</v>
      </c>
      <c r="B9" s="4"/>
      <c r="C9" s="4"/>
      <c r="D9" s="4"/>
      <c r="E9" s="4"/>
      <c r="F9" s="4"/>
    </row>
    <row r="10" customFormat="false" ht="27.75" hidden="false" customHeight="true" outlineLevel="0" collapsed="false">
      <c r="A10" s="13" t="s">
        <v>13</v>
      </c>
      <c r="B10" s="14" t="s">
        <v>239</v>
      </c>
      <c r="C10" s="14"/>
      <c r="D10" s="14"/>
      <c r="E10" s="14"/>
      <c r="F10" s="14" t="s">
        <v>240</v>
      </c>
    </row>
    <row r="11" customFormat="false" ht="15" hidden="false" customHeight="false" outlineLevel="0" collapsed="false">
      <c r="A11" s="27" t="s">
        <v>241</v>
      </c>
      <c r="B11" s="48" t="n">
        <f aca="false">'Cover &amp; Assumptions'!$B$42</f>
        <v>1650</v>
      </c>
      <c r="F11" s="17" t="s">
        <v>55</v>
      </c>
    </row>
    <row r="12" customFormat="false" ht="15" hidden="false" customHeight="false" outlineLevel="0" collapsed="false">
      <c r="A12" s="15" t="s">
        <v>242</v>
      </c>
      <c r="B12" s="26" t="n">
        <f aca="false">'Standalone Summary'!$C$24</f>
        <v>900</v>
      </c>
      <c r="F12" s="17" t="s">
        <v>243</v>
      </c>
    </row>
    <row r="13" customFormat="false" ht="15" hidden="false" customHeight="false" outlineLevel="0" collapsed="false">
      <c r="A13" s="15" t="s">
        <v>244</v>
      </c>
      <c r="B13" s="23" t="n">
        <f aca="false">-'Cover &amp; Assumptions'!$B$64</f>
        <v>-115</v>
      </c>
      <c r="F13" s="17" t="s">
        <v>245</v>
      </c>
    </row>
    <row r="14" customFormat="false" ht="15" hidden="false" customHeight="false" outlineLevel="0" collapsed="false">
      <c r="A14" s="27" t="s">
        <v>246</v>
      </c>
      <c r="B14" s="29" t="n">
        <f aca="false">B12+B13</f>
        <v>785</v>
      </c>
    </row>
    <row r="15" customFormat="false" ht="15" hidden="false" customHeight="false" outlineLevel="0" collapsed="false">
      <c r="A15" s="27" t="s">
        <v>247</v>
      </c>
      <c r="B15" s="49" t="n">
        <f aca="false">B11-B14</f>
        <v>865</v>
      </c>
      <c r="F15" s="17" t="s">
        <v>248</v>
      </c>
    </row>
    <row r="17" customFormat="false" ht="15" hidden="false" customHeight="false" outlineLevel="0" collapsed="false">
      <c r="A17" s="15" t="s">
        <v>249</v>
      </c>
      <c r="B17" s="39" t="n">
        <f aca="false">B11/B12</f>
        <v>1.83333333333333</v>
      </c>
    </row>
    <row r="18" customFormat="false" ht="15" hidden="false" customHeight="false" outlineLevel="0" collapsed="false">
      <c r="A18" s="15" t="s">
        <v>250</v>
      </c>
      <c r="B18" s="39" t="n">
        <f aca="false">B11/'Standalone Summary'!$C$42</f>
        <v>4.73403339645378</v>
      </c>
    </row>
    <row r="19" customFormat="false" ht="15" hidden="false" customHeight="false" outlineLevel="0" collapsed="false">
      <c r="A19" s="15" t="s">
        <v>251</v>
      </c>
      <c r="B19" s="34" t="n">
        <f aca="false">B11/'Cover &amp; Assumptions'!$B$43-1</f>
        <v>0.25</v>
      </c>
      <c r="F19" s="17" t="s">
        <v>252</v>
      </c>
    </row>
    <row r="20" customFormat="false" ht="15" hidden="false" customHeight="false" outlineLevel="0" collapsed="false">
      <c r="A20" s="15" t="s">
        <v>253</v>
      </c>
      <c r="B20" s="34" t="n">
        <f aca="false">'Standalone Summary'!$C$42/B11</f>
        <v>0.211236363636364</v>
      </c>
      <c r="F20" s="17" t="s">
        <v>254</v>
      </c>
    </row>
    <row r="21" customFormat="false" ht="15" hidden="false" customHeight="false" outlineLevel="0" collapsed="false">
      <c r="A21" s="15" t="s">
        <v>255</v>
      </c>
      <c r="B21" s="34" t="n">
        <f aca="false">'Cover &amp; Assumptions'!$B$47*(1-'Cover &amp; Assumptions'!$B$20)</f>
        <v>0.03885</v>
      </c>
    </row>
    <row r="22" customFormat="false" ht="15" hidden="false" customHeight="false" outlineLevel="0" collapsed="false">
      <c r="A22" s="27" t="s">
        <v>256</v>
      </c>
      <c r="B22" s="33" t="n">
        <f aca="false">B20-B21</f>
        <v>0.172386363636364</v>
      </c>
    </row>
    <row r="24" customFormat="false" ht="15" hidden="false" customHeight="false" outlineLevel="0" collapsed="false">
      <c r="A24" s="7" t="s">
        <v>257</v>
      </c>
      <c r="B24" s="4"/>
      <c r="C24" s="4"/>
      <c r="D24" s="4"/>
      <c r="E24" s="4"/>
      <c r="F24" s="4"/>
    </row>
    <row r="25" customFormat="false" ht="27.75" hidden="false" customHeight="true" outlineLevel="0" collapsed="false">
      <c r="A25" s="13" t="s">
        <v>13</v>
      </c>
      <c r="B25" s="14" t="s">
        <v>239</v>
      </c>
      <c r="C25" s="14" t="s">
        <v>258</v>
      </c>
      <c r="D25" s="14"/>
      <c r="E25" s="14"/>
      <c r="F25" s="14" t="s">
        <v>117</v>
      </c>
    </row>
    <row r="26" customFormat="false" ht="15" hidden="false" customHeight="false" outlineLevel="0" collapsed="false">
      <c r="A26" s="15" t="s">
        <v>259</v>
      </c>
      <c r="B26" s="26" t="n">
        <f aca="false">'Cover &amp; Assumptions'!$B$45</f>
        <v>1155</v>
      </c>
      <c r="C26" s="34" t="n">
        <f aca="false">B26/B28</f>
        <v>0.7</v>
      </c>
    </row>
    <row r="27" customFormat="false" ht="15" hidden="false" customHeight="false" outlineLevel="0" collapsed="false">
      <c r="A27" s="15" t="s">
        <v>260</v>
      </c>
      <c r="B27" s="26" t="n">
        <f aca="false">'Cover &amp; Assumptions'!$B$46</f>
        <v>495</v>
      </c>
      <c r="C27" s="34" t="n">
        <f aca="false">B27/B28</f>
        <v>0.3</v>
      </c>
    </row>
    <row r="28" customFormat="false" ht="15" hidden="false" customHeight="false" outlineLevel="0" collapsed="false">
      <c r="A28" s="27" t="s">
        <v>261</v>
      </c>
      <c r="B28" s="29" t="n">
        <f aca="false">B26+B27</f>
        <v>1650</v>
      </c>
    </row>
    <row r="29" customFormat="false" ht="15" hidden="false" customHeight="false" outlineLevel="0" collapsed="false">
      <c r="A29" s="15" t="s">
        <v>262</v>
      </c>
      <c r="B29" s="23" t="n">
        <f aca="false">B11</f>
        <v>1650</v>
      </c>
    </row>
    <row r="30" customFormat="false" ht="15" hidden="false" customHeight="false" outlineLevel="0" collapsed="false">
      <c r="A30" s="27" t="s">
        <v>263</v>
      </c>
      <c r="B30" s="29" t="n">
        <f aca="false">B29</f>
        <v>1650</v>
      </c>
    </row>
    <row r="31" customFormat="false" ht="15" hidden="false" customHeight="false" outlineLevel="0" collapsed="false">
      <c r="A31" s="12" t="s">
        <v>264</v>
      </c>
      <c r="B31" s="50" t="n">
        <f aca="false">'Cover &amp; Assumptions'!$B$63</f>
        <v>180</v>
      </c>
    </row>
    <row r="33" customFormat="false" ht="15" hidden="false" customHeight="false" outlineLevel="0" collapsed="false">
      <c r="A33" s="7" t="s">
        <v>265</v>
      </c>
      <c r="B33" s="4"/>
      <c r="C33" s="4"/>
      <c r="D33" s="4"/>
      <c r="E33" s="4"/>
      <c r="F33" s="4"/>
    </row>
    <row r="34" customFormat="false" ht="27.75" hidden="false" customHeight="true" outlineLevel="0" collapsed="false">
      <c r="A34" s="13" t="s">
        <v>113</v>
      </c>
      <c r="B34" s="14" t="s">
        <v>266</v>
      </c>
      <c r="C34" s="14" t="s">
        <v>267</v>
      </c>
      <c r="D34" s="14" t="s">
        <v>268</v>
      </c>
      <c r="E34" s="14" t="s">
        <v>269</v>
      </c>
      <c r="F34" s="14" t="s">
        <v>270</v>
      </c>
    </row>
    <row r="35" customFormat="false" ht="15" hidden="false" customHeight="false" outlineLevel="0" collapsed="false">
      <c r="A35" s="40" t="s">
        <v>118</v>
      </c>
      <c r="B35" s="26" t="n">
        <f aca="false">'Standalone Summary'!$B$11</f>
        <v>1800</v>
      </c>
      <c r="C35" s="26" t="n">
        <f aca="false">'Standalone Summary'!$C$11</f>
        <v>650</v>
      </c>
      <c r="D35" s="23" t="n">
        <f aca="false">-'Cover &amp; Assumptions'!$B$46+B68</f>
        <v>559.5</v>
      </c>
      <c r="E35" s="23" t="n">
        <f aca="false">B35+C35+D35</f>
        <v>3009.5</v>
      </c>
      <c r="F35" s="17" t="s">
        <v>271</v>
      </c>
    </row>
    <row r="36" customFormat="false" ht="15" hidden="false" customHeight="false" outlineLevel="0" collapsed="false">
      <c r="A36" s="40" t="s">
        <v>119</v>
      </c>
      <c r="B36" s="26" t="n">
        <f aca="false">'Standalone Summary'!$B$12</f>
        <v>6200</v>
      </c>
      <c r="C36" s="26" t="n">
        <f aca="false">'Standalone Summary'!$C$12</f>
        <v>900</v>
      </c>
      <c r="D36" s="23" t="n">
        <v>0</v>
      </c>
      <c r="E36" s="23" t="n">
        <f aca="false">B36+C36+D36</f>
        <v>7100</v>
      </c>
    </row>
    <row r="37" customFormat="false" ht="15" hidden="false" customHeight="false" outlineLevel="0" collapsed="false">
      <c r="A37" s="40" t="s">
        <v>120</v>
      </c>
      <c r="B37" s="26" t="n">
        <f aca="false">'Standalone Summary'!$B$13</f>
        <v>19500</v>
      </c>
      <c r="C37" s="26" t="n">
        <f aca="false">'Standalone Summary'!$C$13</f>
        <v>0</v>
      </c>
      <c r="D37" s="23" t="n">
        <v>0</v>
      </c>
      <c r="E37" s="23" t="n">
        <f aca="false">B37+C37+D37</f>
        <v>19500</v>
      </c>
    </row>
    <row r="38" customFormat="false" ht="15" hidden="false" customHeight="false" outlineLevel="0" collapsed="false">
      <c r="A38" s="40" t="s">
        <v>121</v>
      </c>
      <c r="B38" s="26" t="n">
        <f aca="false">'Standalone Summary'!$B$14</f>
        <v>8400</v>
      </c>
      <c r="C38" s="26" t="n">
        <f aca="false">'Standalone Summary'!$C$14</f>
        <v>0</v>
      </c>
      <c r="D38" s="23" t="n">
        <v>0</v>
      </c>
      <c r="E38" s="23" t="n">
        <f aca="false">B38+C38+D38</f>
        <v>8400</v>
      </c>
    </row>
    <row r="39" customFormat="false" ht="15" hidden="false" customHeight="false" outlineLevel="0" collapsed="false">
      <c r="A39" s="40" t="s">
        <v>122</v>
      </c>
      <c r="B39" s="26" t="n">
        <f aca="false">'Standalone Summary'!$B$15</f>
        <v>1150</v>
      </c>
      <c r="C39" s="26" t="n">
        <f aca="false">'Standalone Summary'!$C$15</f>
        <v>7200</v>
      </c>
      <c r="D39" s="23" t="n">
        <f aca="false">-'Cover &amp; Assumptions'!$B$64</f>
        <v>-115</v>
      </c>
      <c r="E39" s="23" t="n">
        <f aca="false">B39+C39+D39</f>
        <v>8235</v>
      </c>
      <c r="F39" s="17" t="s">
        <v>272</v>
      </c>
    </row>
    <row r="40" customFormat="false" ht="15" hidden="false" customHeight="false" outlineLevel="0" collapsed="false">
      <c r="A40" s="40" t="s">
        <v>123</v>
      </c>
      <c r="B40" s="26" t="n">
        <f aca="false">'Standalone Summary'!$B$16</f>
        <v>2950</v>
      </c>
      <c r="C40" s="26" t="n">
        <f aca="false">'Standalone Summary'!$C$16</f>
        <v>1150</v>
      </c>
      <c r="D40" s="23" t="n">
        <v>0</v>
      </c>
      <c r="E40" s="23" t="n">
        <f aca="false">B40+C40+D40</f>
        <v>4100</v>
      </c>
    </row>
    <row r="41" customFormat="false" ht="15" hidden="false" customHeight="false" outlineLevel="0" collapsed="false">
      <c r="A41" s="40" t="s">
        <v>273</v>
      </c>
      <c r="B41" s="23" t="n">
        <v>0</v>
      </c>
      <c r="C41" s="23" t="n">
        <v>0</v>
      </c>
      <c r="D41" s="23" t="n">
        <f aca="false">B15</f>
        <v>865</v>
      </c>
      <c r="E41" s="23" t="n">
        <f aca="false">B41+C41+D41</f>
        <v>865</v>
      </c>
      <c r="F41" s="17" t="s">
        <v>274</v>
      </c>
    </row>
    <row r="42" customFormat="false" ht="15" hidden="false" customHeight="false" outlineLevel="0" collapsed="false">
      <c r="A42" s="40" t="s">
        <v>124</v>
      </c>
      <c r="B42" s="26" t="n">
        <f aca="false">'Standalone Summary'!$B$17</f>
        <v>1000</v>
      </c>
      <c r="C42" s="26" t="n">
        <f aca="false">'Standalone Summary'!$C$17</f>
        <v>500</v>
      </c>
      <c r="D42" s="23" t="n">
        <v>0</v>
      </c>
      <c r="E42" s="23" t="n">
        <f aca="false">B42+C42+D42</f>
        <v>1500</v>
      </c>
    </row>
    <row r="43" customFormat="false" ht="15" hidden="false" customHeight="false" outlineLevel="0" collapsed="false">
      <c r="A43" s="27" t="s">
        <v>125</v>
      </c>
      <c r="B43" s="29" t="n">
        <f aca="false">SUM(B35:B42)</f>
        <v>41000</v>
      </c>
      <c r="C43" s="29" t="n">
        <f aca="false">SUM(C35:C42)</f>
        <v>10400</v>
      </c>
      <c r="D43" s="29" t="n">
        <f aca="false">SUM(D35:D42)</f>
        <v>1309.5</v>
      </c>
      <c r="E43" s="29" t="n">
        <f aca="false">SUM(E35:E42)</f>
        <v>52709.5</v>
      </c>
    </row>
    <row r="45" customFormat="false" ht="15" hidden="false" customHeight="false" outlineLevel="0" collapsed="false">
      <c r="A45" s="40" t="s">
        <v>126</v>
      </c>
      <c r="B45" s="26" t="n">
        <f aca="false">'Standalone Summary'!$B$20</f>
        <v>32500</v>
      </c>
      <c r="C45" s="26" t="n">
        <f aca="false">'Standalone Summary'!$C$20</f>
        <v>6100</v>
      </c>
      <c r="D45" s="23" t="n">
        <v>0</v>
      </c>
      <c r="E45" s="23" t="n">
        <f aca="false">B45+C45+D45</f>
        <v>38600</v>
      </c>
    </row>
    <row r="46" customFormat="false" ht="15" hidden="false" customHeight="false" outlineLevel="0" collapsed="false">
      <c r="A46" s="40" t="s">
        <v>128</v>
      </c>
      <c r="B46" s="26" t="n">
        <f aca="false">'Standalone Summary'!$B$21</f>
        <v>4300</v>
      </c>
      <c r="C46" s="26" t="n">
        <f aca="false">'Standalone Summary'!$C$21</f>
        <v>2900</v>
      </c>
      <c r="D46" s="23" t="n">
        <f aca="false">'Cover &amp; Assumptions'!$B$45</f>
        <v>1155</v>
      </c>
      <c r="E46" s="23" t="n">
        <f aca="false">B46+C46+D46</f>
        <v>8355</v>
      </c>
      <c r="F46" s="17" t="s">
        <v>275</v>
      </c>
    </row>
    <row r="47" customFormat="false" ht="15" hidden="false" customHeight="false" outlineLevel="0" collapsed="false">
      <c r="A47" s="40" t="s">
        <v>129</v>
      </c>
      <c r="B47" s="26" t="n">
        <f aca="false">'Standalone Summary'!$B$22</f>
        <v>900</v>
      </c>
      <c r="C47" s="26" t="n">
        <f aca="false">'Standalone Summary'!$C$22</f>
        <v>500</v>
      </c>
      <c r="D47" s="23" t="n">
        <v>0</v>
      </c>
      <c r="E47" s="23" t="n">
        <f aca="false">B47+C47+D47</f>
        <v>1400</v>
      </c>
    </row>
    <row r="48" customFormat="false" ht="15" hidden="false" customHeight="false" outlineLevel="0" collapsed="false">
      <c r="A48" s="27" t="s">
        <v>130</v>
      </c>
      <c r="B48" s="29" t="n">
        <f aca="false">SUM(B45:B47)</f>
        <v>37700</v>
      </c>
      <c r="C48" s="29" t="n">
        <f aca="false">SUM(C45:C47)</f>
        <v>9500</v>
      </c>
      <c r="D48" s="29" t="n">
        <f aca="false">SUM(D45:D47)</f>
        <v>1155</v>
      </c>
      <c r="E48" s="29" t="n">
        <f aca="false">SUM(E45:E47)</f>
        <v>48355</v>
      </c>
    </row>
    <row r="49" customFormat="false" ht="15" hidden="false" customHeight="false" outlineLevel="0" collapsed="false">
      <c r="A49" s="40" t="s">
        <v>131</v>
      </c>
      <c r="B49" s="26" t="n">
        <f aca="false">'Standalone Summary'!$B$24</f>
        <v>3300</v>
      </c>
      <c r="C49" s="26" t="n">
        <f aca="false">'Standalone Summary'!$C$24</f>
        <v>900</v>
      </c>
      <c r="D49" s="23" t="n">
        <f aca="false">-'Standalone Summary'!$C$24+B68</f>
        <v>154.5</v>
      </c>
      <c r="E49" s="23" t="n">
        <f aca="false">B49+C49+D49</f>
        <v>4354.5</v>
      </c>
      <c r="F49" s="17" t="s">
        <v>276</v>
      </c>
    </row>
    <row r="50" customFormat="false" ht="15" hidden="false" customHeight="false" outlineLevel="0" collapsed="false">
      <c r="A50" s="27" t="s">
        <v>132</v>
      </c>
      <c r="B50" s="30"/>
      <c r="C50" s="30"/>
      <c r="D50" s="30"/>
      <c r="E50" s="30" t="n">
        <f aca="false">E48+E49</f>
        <v>52709.5</v>
      </c>
    </row>
    <row r="51" customFormat="false" ht="15" hidden="false" customHeight="false" outlineLevel="0" collapsed="false">
      <c r="A51" s="12" t="s">
        <v>277</v>
      </c>
      <c r="B51" s="31"/>
      <c r="C51" s="31"/>
      <c r="D51" s="31"/>
      <c r="E51" s="31" t="n">
        <f aca="false">E43-E50</f>
        <v>0</v>
      </c>
      <c r="F51" s="17" t="s">
        <v>278</v>
      </c>
    </row>
    <row r="53" customFormat="false" ht="15" hidden="false" customHeight="false" outlineLevel="0" collapsed="false">
      <c r="A53" s="7" t="s">
        <v>279</v>
      </c>
      <c r="B53" s="4"/>
      <c r="C53" s="4"/>
      <c r="D53" s="4"/>
      <c r="E53" s="4"/>
      <c r="F53" s="4"/>
    </row>
    <row r="54" customFormat="false" ht="27.75" hidden="false" customHeight="true" outlineLevel="0" collapsed="false">
      <c r="A54" s="13" t="s">
        <v>13</v>
      </c>
      <c r="B54" s="14" t="s">
        <v>239</v>
      </c>
      <c r="C54" s="14"/>
      <c r="D54" s="14"/>
      <c r="E54" s="14"/>
      <c r="F54" s="14" t="s">
        <v>117</v>
      </c>
    </row>
    <row r="55" customFormat="false" ht="15" hidden="false" customHeight="false" outlineLevel="0" collapsed="false">
      <c r="A55" s="15" t="s">
        <v>280</v>
      </c>
      <c r="B55" s="26" t="n">
        <f aca="false">'Standalone Summary'!$B$46</f>
        <v>3050</v>
      </c>
    </row>
    <row r="56" customFormat="false" ht="15" hidden="false" customHeight="false" outlineLevel="0" collapsed="false">
      <c r="A56" s="15" t="s">
        <v>281</v>
      </c>
      <c r="B56" s="23" t="n">
        <f aca="false">-B15</f>
        <v>-865</v>
      </c>
      <c r="F56" s="17" t="s">
        <v>282</v>
      </c>
    </row>
    <row r="57" customFormat="false" ht="15" hidden="false" customHeight="false" outlineLevel="0" collapsed="false">
      <c r="A57" s="27" t="s">
        <v>283</v>
      </c>
      <c r="B57" s="29" t="n">
        <f aca="false">B55+B56</f>
        <v>2185</v>
      </c>
    </row>
    <row r="58" customFormat="false" ht="15" hidden="false" customHeight="false" outlineLevel="0" collapsed="false">
      <c r="A58" s="15" t="s">
        <v>284</v>
      </c>
      <c r="B58" s="26" t="n">
        <f aca="false">'Standalone Summary'!$B$47</f>
        <v>22600</v>
      </c>
    </row>
    <row r="59" customFormat="false" ht="15" hidden="false" customHeight="false" outlineLevel="0" collapsed="false">
      <c r="A59" s="15" t="s">
        <v>285</v>
      </c>
      <c r="B59" s="26" t="n">
        <f aca="false">'Standalone Summary'!$C$47</f>
        <v>6850</v>
      </c>
    </row>
    <row r="60" customFormat="false" ht="15" hidden="false" customHeight="false" outlineLevel="0" collapsed="false">
      <c r="A60" s="27" t="s">
        <v>286</v>
      </c>
      <c r="B60" s="29" t="n">
        <f aca="false">B58+B59</f>
        <v>29450</v>
      </c>
    </row>
    <row r="61" customFormat="false" ht="15" hidden="false" customHeight="false" outlineLevel="0" collapsed="false">
      <c r="A61" s="27" t="s">
        <v>287</v>
      </c>
      <c r="B61" s="51" t="n">
        <f aca="false">B57/B60</f>
        <v>0.0741935483870968</v>
      </c>
    </row>
    <row r="62" customFormat="false" ht="15" hidden="false" customHeight="false" outlineLevel="0" collapsed="false">
      <c r="A62" s="12" t="s">
        <v>288</v>
      </c>
      <c r="B62" s="52" t="n">
        <f aca="false">'Standalone Summary'!$B$48</f>
        <v>0.134955752212389</v>
      </c>
    </row>
    <row r="63" customFormat="false" ht="15" hidden="false" customHeight="false" outlineLevel="0" collapsed="false">
      <c r="A63" s="12" t="s">
        <v>289</v>
      </c>
      <c r="B63" s="53" t="n">
        <f aca="false">(B61-B62)*10000</f>
        <v>-607.622038252926</v>
      </c>
    </row>
    <row r="65" customFormat="false" ht="15" hidden="false" customHeight="false" outlineLevel="0" collapsed="false">
      <c r="A65" s="15" t="s">
        <v>18</v>
      </c>
      <c r="B65" s="54" t="n">
        <f aca="false">'Cover &amp; Assumptions'!$B$21</f>
        <v>0.11</v>
      </c>
    </row>
    <row r="66" customFormat="false" ht="15" hidden="false" customHeight="false" outlineLevel="0" collapsed="false">
      <c r="A66" s="15" t="s">
        <v>290</v>
      </c>
      <c r="B66" s="23" t="n">
        <f aca="false">B65*B60</f>
        <v>3239.5</v>
      </c>
    </row>
    <row r="67" customFormat="false" ht="15" hidden="false" customHeight="false" outlineLevel="0" collapsed="false">
      <c r="A67" s="15" t="s">
        <v>291</v>
      </c>
      <c r="B67" s="23" t="n">
        <f aca="false">B66-B57</f>
        <v>1054.5</v>
      </c>
    </row>
    <row r="68" customFormat="false" ht="15" hidden="false" customHeight="false" outlineLevel="0" collapsed="false">
      <c r="A68" s="27" t="s">
        <v>292</v>
      </c>
      <c r="B68" s="49" t="n">
        <f aca="false">MAX(0,B67)</f>
        <v>1054.5</v>
      </c>
      <c r="F68" s="17" t="s">
        <v>293</v>
      </c>
    </row>
    <row r="69" customFormat="false" ht="15" hidden="false" customHeight="false" outlineLevel="0" collapsed="false">
      <c r="A69" s="15" t="s">
        <v>294</v>
      </c>
      <c r="B69" s="55" t="n">
        <f aca="false">'Cover &amp; Assumptions'!$B$23</f>
        <v>44</v>
      </c>
      <c r="F69" s="17" t="s">
        <v>295</v>
      </c>
    </row>
    <row r="70" customFormat="false" ht="15" hidden="false" customHeight="false" outlineLevel="0" collapsed="false">
      <c r="A70" s="15" t="s">
        <v>296</v>
      </c>
      <c r="B70" s="56" t="n">
        <f aca="false">B68/B69</f>
        <v>23.9659090909091</v>
      </c>
    </row>
    <row r="71" customFormat="false" ht="15" hidden="false" customHeight="false" outlineLevel="0" collapsed="false">
      <c r="A71" s="15" t="s">
        <v>297</v>
      </c>
      <c r="B71" s="57" t="n">
        <f aca="false">'Cover &amp; Assumptions'!$B$24</f>
        <v>120</v>
      </c>
    </row>
    <row r="72" customFormat="false" ht="15" hidden="false" customHeight="false" outlineLevel="0" collapsed="false">
      <c r="A72" s="27" t="s">
        <v>298</v>
      </c>
      <c r="B72" s="58" t="n">
        <f aca="false">B71+B70</f>
        <v>143.965909090909</v>
      </c>
    </row>
    <row r="73" customFormat="false" ht="15" hidden="false" customHeight="false" outlineLevel="0" collapsed="false">
      <c r="A73" s="15" t="s">
        <v>299</v>
      </c>
      <c r="B73" s="34" t="n">
        <f aca="false">B70/B72</f>
        <v>0.166469334596259</v>
      </c>
    </row>
    <row r="74" customFormat="false" ht="15" hidden="false" customHeight="false" outlineLevel="0" collapsed="false">
      <c r="A74" s="15" t="s">
        <v>300</v>
      </c>
      <c r="B74" s="34" t="n">
        <f aca="false">B68/('Cover &amp; Assumptions'!$B$24*'Cover &amp; Assumptions'!$B$23)</f>
        <v>0.199715909090909</v>
      </c>
      <c r="F74" s="17" t="s">
        <v>301</v>
      </c>
    </row>
    <row r="76" customFormat="false" ht="15" hidden="false" customHeight="false" outlineLevel="0" collapsed="false">
      <c r="A76" s="27" t="s">
        <v>302</v>
      </c>
      <c r="B76" s="32" t="n">
        <f aca="false">B57+B68</f>
        <v>3239.5</v>
      </c>
    </row>
    <row r="77" customFormat="false" ht="15" hidden="false" customHeight="false" outlineLevel="0" collapsed="false">
      <c r="A77" s="27" t="s">
        <v>303</v>
      </c>
      <c r="B77" s="59" t="n">
        <f aca="false">B76/B60</f>
        <v>0.11</v>
      </c>
    </row>
    <row r="78" customFormat="false" ht="15" hidden="false" customHeight="false" outlineLevel="0" collapsed="false">
      <c r="A78" s="12" t="s">
        <v>304</v>
      </c>
      <c r="B78" s="53" t="n">
        <f aca="false">(B61-'Cover &amp; Assumptions'!$B$22)*10000</f>
        <v>41.9354838709676</v>
      </c>
    </row>
    <row r="79" customFormat="false" ht="15" hidden="false" customHeight="false" outlineLevel="0" collapsed="false">
      <c r="A79" s="12" t="s">
        <v>305</v>
      </c>
      <c r="B79" s="45" t="n">
        <f aca="false">B55/B60</f>
        <v>0.103565365025467</v>
      </c>
      <c r="F79" s="17" t="s">
        <v>306</v>
      </c>
    </row>
    <row r="80" customFormat="false" ht="15" hidden="false" customHeight="false" outlineLevel="0" collapsed="false">
      <c r="A80" s="12" t="s">
        <v>307</v>
      </c>
      <c r="B80" s="31" t="n">
        <f aca="false">MAX(0,'Cover &amp; Assumptions'!$B$21*B60-B55)</f>
        <v>189.5</v>
      </c>
      <c r="F80" s="17" t="s">
        <v>308</v>
      </c>
    </row>
    <row r="81" customFormat="false" ht="15" hidden="false" customHeight="false" outlineLevel="0" collapsed="false">
      <c r="A81" s="12" t="s">
        <v>309</v>
      </c>
      <c r="B81" s="47" t="n">
        <f aca="false">MIN(1,B68/B11)</f>
        <v>0.639090909090909</v>
      </c>
      <c r="F81" s="17" t="s">
        <v>310</v>
      </c>
    </row>
    <row r="83" customFormat="false" ht="15" hidden="false" customHeight="false" outlineLevel="0" collapsed="false">
      <c r="A83" s="7" t="s">
        <v>311</v>
      </c>
      <c r="B83" s="4"/>
      <c r="C83" s="4"/>
      <c r="D83" s="4"/>
      <c r="E83" s="4"/>
      <c r="F83" s="4"/>
    </row>
    <row r="84" customFormat="false" ht="27.75" hidden="false" customHeight="true" outlineLevel="0" collapsed="false">
      <c r="A84" s="13" t="s">
        <v>113</v>
      </c>
      <c r="B84" s="14" t="s">
        <v>312</v>
      </c>
      <c r="C84" s="14" t="s">
        <v>313</v>
      </c>
      <c r="D84" s="14" t="s">
        <v>314</v>
      </c>
      <c r="E84" s="14"/>
      <c r="F84" s="14" t="s">
        <v>117</v>
      </c>
    </row>
    <row r="85" customFormat="false" ht="15" hidden="false" customHeight="false" outlineLevel="0" collapsed="false">
      <c r="A85" s="27" t="s">
        <v>315</v>
      </c>
    </row>
    <row r="86" customFormat="false" ht="15" hidden="false" customHeight="false" outlineLevel="0" collapsed="false">
      <c r="A86" s="40" t="s">
        <v>143</v>
      </c>
      <c r="B86" s="24" t="n">
        <f aca="false">'Standalone Summary'!$C$119</f>
        <v>1498.53</v>
      </c>
      <c r="C86" s="24" t="n">
        <f aca="false">'Standalone Summary'!$D$119</f>
        <v>1565.96385</v>
      </c>
      <c r="D86" s="24" t="n">
        <f aca="false">'Standalone Summary'!$E$119</f>
        <v>1636.43222325</v>
      </c>
    </row>
    <row r="87" customFormat="false" ht="15" hidden="false" customHeight="false" outlineLevel="0" collapsed="false">
      <c r="A87" s="40" t="s">
        <v>46</v>
      </c>
      <c r="B87" s="25" t="n">
        <f aca="false">-'Standalone Summary'!$C$120</f>
        <v>-100.8</v>
      </c>
      <c r="C87" s="25" t="n">
        <f aca="false">-'Standalone Summary'!$D$120</f>
        <v>-105.84</v>
      </c>
      <c r="D87" s="25" t="n">
        <f aca="false">-'Standalone Summary'!$E$120</f>
        <v>-111.132</v>
      </c>
    </row>
    <row r="88" customFormat="false" ht="15" hidden="false" customHeight="false" outlineLevel="0" collapsed="false">
      <c r="A88" s="40" t="s">
        <v>48</v>
      </c>
      <c r="B88" s="25" t="n">
        <f aca="false">-'Standalone Summary'!$C$121</f>
        <v>-807.3</v>
      </c>
      <c r="C88" s="25" t="n">
        <f aca="false">-'Standalone Summary'!$D$121</f>
        <v>-835.5555</v>
      </c>
      <c r="D88" s="25" t="n">
        <f aca="false">-'Standalone Summary'!$E$121</f>
        <v>-864.7999425</v>
      </c>
    </row>
    <row r="89" customFormat="false" ht="15" hidden="false" customHeight="false" outlineLevel="0" collapsed="false">
      <c r="A89" s="42" t="s">
        <v>316</v>
      </c>
      <c r="B89" s="43" t="n">
        <f aca="false">SUM(B86:B88)</f>
        <v>590.43</v>
      </c>
      <c r="C89" s="43" t="n">
        <f aca="false">SUM(C86:C88)</f>
        <v>624.56835</v>
      </c>
      <c r="D89" s="43" t="n">
        <f aca="false">SUM(D86:D88)</f>
        <v>660.50028075</v>
      </c>
    </row>
    <row r="90" customFormat="false" ht="15" hidden="false" customHeight="false" outlineLevel="0" collapsed="false">
      <c r="A90" s="27" t="s">
        <v>317</v>
      </c>
    </row>
    <row r="91" customFormat="false" ht="15" hidden="false" customHeight="false" outlineLevel="0" collapsed="false">
      <c r="A91" s="40" t="s">
        <v>143</v>
      </c>
      <c r="B91" s="24" t="n">
        <f aca="false">'Standalone Summary'!$C$132</f>
        <v>1645.6</v>
      </c>
      <c r="C91" s="24" t="n">
        <f aca="false">'Standalone Summary'!$D$132</f>
        <v>1810.16</v>
      </c>
      <c r="D91" s="24" t="n">
        <f aca="false">'Standalone Summary'!$E$132</f>
        <v>1991.176</v>
      </c>
    </row>
    <row r="92" customFormat="false" ht="15" hidden="false" customHeight="false" outlineLevel="0" collapsed="false">
      <c r="A92" s="40" t="s">
        <v>46</v>
      </c>
      <c r="B92" s="25" t="n">
        <f aca="false">-'Standalone Summary'!$C$133</f>
        <v>-442.75</v>
      </c>
      <c r="C92" s="25" t="n">
        <f aca="false">-'Standalone Summary'!$D$133</f>
        <v>-509.1625</v>
      </c>
      <c r="D92" s="25" t="n">
        <f aca="false">-'Standalone Summary'!$E$133</f>
        <v>-585.536875</v>
      </c>
    </row>
    <row r="93" customFormat="false" ht="15" hidden="false" customHeight="false" outlineLevel="0" collapsed="false">
      <c r="A93" s="40" t="s">
        <v>48</v>
      </c>
      <c r="B93" s="25" t="n">
        <f aca="false">-'Standalone Summary'!$C$134</f>
        <v>-678.4</v>
      </c>
      <c r="C93" s="25" t="n">
        <f aca="false">-'Standalone Summary'!$D$134</f>
        <v>-719.104</v>
      </c>
      <c r="D93" s="25" t="n">
        <f aca="false">-'Standalone Summary'!$E$134</f>
        <v>-762.25024</v>
      </c>
    </row>
    <row r="94" customFormat="false" ht="15" hidden="false" customHeight="false" outlineLevel="0" collapsed="false">
      <c r="A94" s="42" t="s">
        <v>318</v>
      </c>
      <c r="B94" s="43" t="n">
        <f aca="false">SUM(B91:B93)</f>
        <v>524.45</v>
      </c>
      <c r="C94" s="43" t="n">
        <f aca="false">SUM(C91:C93)</f>
        <v>581.8935</v>
      </c>
      <c r="D94" s="43" t="n">
        <f aca="false">SUM(D91:D93)</f>
        <v>643.388885000001</v>
      </c>
    </row>
    <row r="95" customFormat="false" ht="15" hidden="false" customHeight="false" outlineLevel="0" collapsed="false">
      <c r="A95" s="27" t="s">
        <v>319</v>
      </c>
      <c r="B95" s="28" t="n">
        <f aca="false">B89+B94</f>
        <v>1114.88</v>
      </c>
      <c r="C95" s="28" t="n">
        <f aca="false">C89+C94</f>
        <v>1206.46185</v>
      </c>
      <c r="D95" s="28" t="n">
        <f aca="false">D89+D94</f>
        <v>1303.88916575</v>
      </c>
    </row>
    <row r="96" customFormat="false" ht="15" hidden="false" customHeight="false" outlineLevel="0" collapsed="false">
      <c r="A96" s="27" t="s">
        <v>320</v>
      </c>
    </row>
    <row r="97" customFormat="false" ht="15" hidden="false" customHeight="false" outlineLevel="0" collapsed="false">
      <c r="A97" s="40" t="s">
        <v>321</v>
      </c>
      <c r="B97" s="24" t="n">
        <f aca="false">'Cover &amp; Assumptions'!$B$49*'Cover &amp; Assumptions'!$B$50</f>
        <v>76.8</v>
      </c>
      <c r="C97" s="24" t="n">
        <f aca="false">'Cover &amp; Assumptions'!$B$49*'Cover &amp; Assumptions'!$B$51</f>
        <v>153.6</v>
      </c>
      <c r="D97" s="24" t="n">
        <f aca="false">'Cover &amp; Assumptions'!$B$49*'Cover &amp; Assumptions'!$B$52</f>
        <v>192</v>
      </c>
      <c r="F97" s="17" t="s">
        <v>322</v>
      </c>
    </row>
    <row r="98" customFormat="false" ht="15" hidden="false" customHeight="false" outlineLevel="0" collapsed="false">
      <c r="A98" s="40" t="s">
        <v>323</v>
      </c>
      <c r="B98" s="24" t="n">
        <f aca="false">'Cover &amp; Assumptions'!$B$59*'Cover &amp; Assumptions'!$B$60</f>
        <v>22.75</v>
      </c>
      <c r="C98" s="24" t="n">
        <f aca="false">'Cover &amp; Assumptions'!$B$59*'Cover &amp; Assumptions'!$B$61</f>
        <v>45.5</v>
      </c>
      <c r="D98" s="24" t="n">
        <f aca="false">'Cover &amp; Assumptions'!$B$59*'Cover &amp; Assumptions'!$B$62</f>
        <v>45.5</v>
      </c>
    </row>
    <row r="99" customFormat="false" ht="15" hidden="false" customHeight="false" outlineLevel="0" collapsed="false">
      <c r="A99" s="40" t="s">
        <v>324</v>
      </c>
      <c r="B99" s="24" t="n">
        <f aca="false">-'Cover &amp; Assumptions'!$B$63</f>
        <v>-180</v>
      </c>
      <c r="C99" s="25" t="n">
        <v>0</v>
      </c>
      <c r="D99" s="25" t="n">
        <v>0</v>
      </c>
      <c r="F99" s="17" t="s">
        <v>325</v>
      </c>
    </row>
    <row r="100" customFormat="false" ht="15" hidden="false" customHeight="false" outlineLevel="0" collapsed="false">
      <c r="A100" s="40" t="s">
        <v>326</v>
      </c>
      <c r="B100" s="24" t="n">
        <f aca="false">-'Cover &amp; Assumptions'!$B$45*'Cover &amp; Assumptions'!$B$47</f>
        <v>-60.6375</v>
      </c>
      <c r="C100" s="24" t="n">
        <f aca="false">-'Cover &amp; Assumptions'!$B$45*'Cover &amp; Assumptions'!$B$47</f>
        <v>-60.6375</v>
      </c>
      <c r="D100" s="24" t="n">
        <f aca="false">-'Cover &amp; Assumptions'!$B$45*'Cover &amp; Assumptions'!$B$47</f>
        <v>-60.6375</v>
      </c>
    </row>
    <row r="101" customFormat="false" ht="15" hidden="false" customHeight="false" outlineLevel="0" collapsed="false">
      <c r="A101" s="40" t="s">
        <v>327</v>
      </c>
      <c r="B101" s="24" t="n">
        <f aca="false">-'Cover &amp; Assumptions'!$B$46*'Cover &amp; Assumptions'!$B$25</f>
        <v>-14.85</v>
      </c>
      <c r="C101" s="24" t="n">
        <f aca="false">-'Cover &amp; Assumptions'!$B$46*'Cover &amp; Assumptions'!$B$25</f>
        <v>-14.85</v>
      </c>
      <c r="D101" s="24" t="n">
        <f aca="false">-'Cover &amp; Assumptions'!$B$46*'Cover &amp; Assumptions'!$B$25</f>
        <v>-14.85</v>
      </c>
      <c r="F101" s="17" t="s">
        <v>328</v>
      </c>
    </row>
    <row r="102" customFormat="false" ht="15" hidden="false" customHeight="false" outlineLevel="0" collapsed="false">
      <c r="A102" s="40" t="s">
        <v>329</v>
      </c>
      <c r="B102" s="25" t="n">
        <f aca="false">$B$68*'Cover &amp; Assumptions'!$B$25</f>
        <v>31.635</v>
      </c>
      <c r="C102" s="25" t="n">
        <f aca="false">$B$68*'Cover &amp; Assumptions'!$B$25</f>
        <v>31.635</v>
      </c>
      <c r="D102" s="25" t="n">
        <f aca="false">$B$68*'Cover &amp; Assumptions'!$B$25</f>
        <v>31.635</v>
      </c>
      <c r="F102" s="17" t="s">
        <v>330</v>
      </c>
    </row>
    <row r="103" customFormat="false" ht="15" hidden="false" customHeight="false" outlineLevel="0" collapsed="false">
      <c r="A103" s="27" t="s">
        <v>331</v>
      </c>
      <c r="B103" s="43" t="n">
        <f aca="false">B95+SUM(B97:B102)</f>
        <v>990.5775</v>
      </c>
      <c r="C103" s="43" t="n">
        <f aca="false">C95+SUM(C97:C102)</f>
        <v>1361.70935</v>
      </c>
      <c r="D103" s="43" t="n">
        <f aca="false">D95+SUM(D97:D102)</f>
        <v>1497.53666575</v>
      </c>
    </row>
    <row r="104" customFormat="false" ht="15" hidden="false" customHeight="false" outlineLevel="0" collapsed="false">
      <c r="A104" s="15" t="s">
        <v>146</v>
      </c>
      <c r="B104" s="25" t="n">
        <f aca="false">-B103*'Cover &amp; Assumptions'!$B$20</f>
        <v>-257.55015</v>
      </c>
      <c r="C104" s="25" t="n">
        <f aca="false">-C103*'Cover &amp; Assumptions'!$B$20</f>
        <v>-354.044431</v>
      </c>
      <c r="D104" s="25" t="n">
        <f aca="false">-D103*'Cover &amp; Assumptions'!$B$20</f>
        <v>-389.359533095</v>
      </c>
    </row>
    <row r="105" customFormat="false" ht="15" hidden="false" customHeight="false" outlineLevel="0" collapsed="false">
      <c r="A105" s="27" t="s">
        <v>332</v>
      </c>
      <c r="B105" s="44" t="n">
        <f aca="false">B103+B104</f>
        <v>733.02735</v>
      </c>
      <c r="C105" s="44" t="n">
        <f aca="false">C103+C104</f>
        <v>1007.664919</v>
      </c>
      <c r="D105" s="44" t="n">
        <f aca="false">D103+D104</f>
        <v>1108.177132655</v>
      </c>
    </row>
    <row r="107" customFormat="false" ht="15" hidden="false" customHeight="false" outlineLevel="0" collapsed="false">
      <c r="A107" s="7" t="s">
        <v>333</v>
      </c>
      <c r="B107" s="4"/>
      <c r="C107" s="4"/>
      <c r="D107" s="4"/>
      <c r="E107" s="4"/>
      <c r="F107" s="4"/>
    </row>
    <row r="108" customFormat="false" ht="27.75" hidden="false" customHeight="true" outlineLevel="0" collapsed="false">
      <c r="A108" s="13" t="s">
        <v>13</v>
      </c>
      <c r="B108" s="14" t="s">
        <v>221</v>
      </c>
      <c r="C108" s="14" t="s">
        <v>222</v>
      </c>
      <c r="D108" s="14" t="s">
        <v>223</v>
      </c>
      <c r="E108" s="14"/>
      <c r="F108" s="14" t="s">
        <v>117</v>
      </c>
    </row>
    <row r="109" customFormat="false" ht="15" hidden="false" customHeight="false" outlineLevel="0" collapsed="false">
      <c r="A109" s="15" t="s">
        <v>298</v>
      </c>
      <c r="B109" s="56" t="n">
        <f aca="false">$B$72</f>
        <v>143.965909090909</v>
      </c>
      <c r="C109" s="56" t="n">
        <f aca="false">$B$72</f>
        <v>143.965909090909</v>
      </c>
      <c r="D109" s="56" t="n">
        <f aca="false">$B$72</f>
        <v>143.965909090909</v>
      </c>
      <c r="F109" s="17" t="s">
        <v>334</v>
      </c>
    </row>
    <row r="110" customFormat="false" ht="15" hidden="false" customHeight="false" outlineLevel="0" collapsed="false">
      <c r="A110" s="27" t="s">
        <v>335</v>
      </c>
      <c r="B110" s="60" t="n">
        <f aca="false">B105/B109</f>
        <v>5.09167312337201</v>
      </c>
      <c r="C110" s="60" t="n">
        <f aca="false">C105/C109</f>
        <v>6.99933008698398</v>
      </c>
      <c r="D110" s="60" t="n">
        <f aca="false">D105/D109</f>
        <v>7.69749685639277</v>
      </c>
    </row>
    <row r="111" customFormat="false" ht="15" hidden="false" customHeight="false" outlineLevel="0" collapsed="false">
      <c r="A111" s="15" t="s">
        <v>336</v>
      </c>
      <c r="B111" s="55" t="n">
        <f aca="false">'Standalone Summary'!$C$154</f>
        <v>3.640985</v>
      </c>
      <c r="C111" s="55" t="n">
        <f aca="false">'Standalone Summary'!$D$154</f>
        <v>3.851504825</v>
      </c>
      <c r="D111" s="55" t="n">
        <f aca="false">'Standalone Summary'!$E$154</f>
        <v>4.073085064625</v>
      </c>
    </row>
    <row r="112" customFormat="false" ht="15" hidden="false" customHeight="false" outlineLevel="0" collapsed="false">
      <c r="A112" s="27" t="s">
        <v>337</v>
      </c>
      <c r="B112" s="61" t="n">
        <f aca="false">B110-B111</f>
        <v>1.45068812337201</v>
      </c>
      <c r="C112" s="61" t="n">
        <f aca="false">C110-C111</f>
        <v>3.14782526198398</v>
      </c>
      <c r="D112" s="61" t="n">
        <f aca="false">D110-D111</f>
        <v>3.62441179176777</v>
      </c>
    </row>
    <row r="113" customFormat="false" ht="15" hidden="false" customHeight="false" outlineLevel="0" collapsed="false">
      <c r="A113" s="27" t="s">
        <v>338</v>
      </c>
      <c r="B113" s="62" t="n">
        <f aca="false">B110/B111-1</f>
        <v>0.398432875546593</v>
      </c>
      <c r="C113" s="62" t="n">
        <f aca="false">C110/C111-1</f>
        <v>0.817297499292105</v>
      </c>
      <c r="D113" s="62" t="n">
        <f aca="false">D110/D111-1</f>
        <v>0.889844364716568</v>
      </c>
    </row>
    <row r="115" customFormat="false" ht="15" hidden="false" customHeight="false" outlineLevel="0" collapsed="false">
      <c r="A115" s="63" t="s">
        <v>339</v>
      </c>
    </row>
    <row r="116" customFormat="false" ht="15" hidden="false" customHeight="false" outlineLevel="0" collapsed="false">
      <c r="A116" s="64" t="s">
        <v>340</v>
      </c>
      <c r="B116" s="65" t="n">
        <f aca="false">B105-B102*(1-'Cover &amp; Assumptions'!$B$20)</f>
        <v>709.61745</v>
      </c>
      <c r="C116" s="65" t="n">
        <f aca="false">C105-C102*(1-'Cover &amp; Assumptions'!$B$20)</f>
        <v>984.255019</v>
      </c>
      <c r="D116" s="65" t="n">
        <f aca="false">D105-D102*(1-'Cover &amp; Assumptions'!$B$20)</f>
        <v>1084.767232655</v>
      </c>
    </row>
    <row r="117" customFormat="false" ht="15" hidden="false" customHeight="false" outlineLevel="0" collapsed="false">
      <c r="A117" s="64" t="s">
        <v>341</v>
      </c>
      <c r="B117" s="66" t="n">
        <f aca="false">B116/'Cover &amp; Assumptions'!$B$24</f>
        <v>5.91347875</v>
      </c>
      <c r="C117" s="66" t="n">
        <f aca="false">C116/'Cover &amp; Assumptions'!$B$24</f>
        <v>8.20212515833333</v>
      </c>
      <c r="D117" s="66" t="n">
        <f aca="false">D116/'Cover &amp; Assumptions'!$B$24</f>
        <v>9.03972693879167</v>
      </c>
    </row>
    <row r="118" customFormat="false" ht="15" hidden="false" customHeight="false" outlineLevel="0" collapsed="false">
      <c r="A118" s="64" t="s">
        <v>342</v>
      </c>
      <c r="B118" s="67" t="n">
        <f aca="false">B117/B111-1</f>
        <v>0.624142574056197</v>
      </c>
      <c r="C118" s="67" t="n">
        <f aca="false">C117/C111-1</f>
        <v>1.12958973985794</v>
      </c>
      <c r="D118" s="67" t="n">
        <f aca="false">D117/D111-1</f>
        <v>1.21938083672798</v>
      </c>
    </row>
    <row r="120" customFormat="false" ht="15" hidden="false" customHeight="false" outlineLevel="0" collapsed="false">
      <c r="A120" s="12" t="s">
        <v>343</v>
      </c>
      <c r="B120" s="46" t="n">
        <f aca="false">('Standalone Summary'!$B$24-'Standalone Summary'!$B$50)/'Cover &amp; Assumptions'!$B$24</f>
        <v>25.4166666666667</v>
      </c>
    </row>
    <row r="121" customFormat="false" ht="15" hidden="false" customHeight="false" outlineLevel="0" collapsed="false">
      <c r="A121" s="12" t="s">
        <v>344</v>
      </c>
      <c r="B121" s="46" t="n">
        <f aca="false">B76/B72</f>
        <v>22.5018549214618</v>
      </c>
    </row>
    <row r="122" customFormat="false" ht="15" hidden="false" customHeight="false" outlineLevel="0" collapsed="false">
      <c r="A122" s="63" t="s">
        <v>345</v>
      </c>
      <c r="B122" s="68" t="n">
        <f aca="false">B121/B120-1</f>
        <v>-0.114681117844125</v>
      </c>
    </row>
    <row r="124" customFormat="false" ht="15" hidden="false" customHeight="false" outlineLevel="0" collapsed="false">
      <c r="A124" s="7" t="s">
        <v>346</v>
      </c>
      <c r="B124" s="4"/>
      <c r="C124" s="4"/>
      <c r="D124" s="4"/>
      <c r="E124" s="4"/>
      <c r="F124" s="4"/>
    </row>
    <row r="125" customFormat="false" ht="27.75" hidden="false" customHeight="true" outlineLevel="0" collapsed="false">
      <c r="A125" s="13" t="s">
        <v>13</v>
      </c>
      <c r="B125" s="14" t="s">
        <v>221</v>
      </c>
      <c r="C125" s="14" t="s">
        <v>222</v>
      </c>
      <c r="D125" s="14" t="s">
        <v>223</v>
      </c>
      <c r="E125" s="14"/>
      <c r="F125" s="14" t="s">
        <v>117</v>
      </c>
    </row>
    <row r="126" customFormat="false" ht="15" hidden="false" customHeight="false" outlineLevel="0" collapsed="false">
      <c r="A126" s="15" t="s">
        <v>347</v>
      </c>
      <c r="B126" s="25" t="n">
        <f aca="false">B94+B97+B98</f>
        <v>624</v>
      </c>
      <c r="C126" s="25" t="n">
        <f aca="false">C94+C97+C98</f>
        <v>780.9935</v>
      </c>
      <c r="D126" s="25" t="n">
        <f aca="false">D94+D97+D98</f>
        <v>880.888885000001</v>
      </c>
    </row>
    <row r="127" customFormat="false" ht="15" hidden="false" customHeight="false" outlineLevel="0" collapsed="false">
      <c r="A127" s="27" t="s">
        <v>348</v>
      </c>
      <c r="B127" s="28" t="n">
        <f aca="false">B126*(1-'Cover &amp; Assumptions'!$B$20)</f>
        <v>461.76</v>
      </c>
      <c r="C127" s="28" t="n">
        <f aca="false">C126*(1-'Cover &amp; Assumptions'!$B$20)</f>
        <v>577.93519</v>
      </c>
      <c r="D127" s="28" t="n">
        <f aca="false">D126*(1-'Cover &amp; Assumptions'!$B$20)</f>
        <v>651.857774900001</v>
      </c>
    </row>
    <row r="128" customFormat="false" ht="15" hidden="false" customHeight="false" outlineLevel="0" collapsed="false">
      <c r="A128" s="15" t="s">
        <v>349</v>
      </c>
      <c r="B128" s="23" t="n">
        <f aca="false">$B$11+'Cover &amp; Assumptions'!$B$63*(1-'Cover &amp; Assumptions'!$B$20)</f>
        <v>1783.2</v>
      </c>
    </row>
    <row r="129" customFormat="false" ht="15" hidden="false" customHeight="false" outlineLevel="0" collapsed="false">
      <c r="A129" s="27" t="s">
        <v>350</v>
      </c>
      <c r="B129" s="32" t="n">
        <f aca="false">B128+$B$68</f>
        <v>2837.7</v>
      </c>
      <c r="F129" s="17" t="s">
        <v>351</v>
      </c>
    </row>
    <row r="130" customFormat="false" ht="15" hidden="false" customHeight="false" outlineLevel="0" collapsed="false">
      <c r="A130" s="15" t="s">
        <v>352</v>
      </c>
      <c r="B130" s="34"/>
      <c r="C130" s="34"/>
      <c r="D130" s="34" t="n">
        <f aca="false">D127/$B$128</f>
        <v>0.365555055462091</v>
      </c>
    </row>
    <row r="131" customFormat="false" ht="15" hidden="false" customHeight="false" outlineLevel="0" collapsed="false">
      <c r="A131" s="27" t="s">
        <v>353</v>
      </c>
      <c r="B131" s="33"/>
      <c r="C131" s="33"/>
      <c r="D131" s="33" t="n">
        <f aca="false">D127/$B$129</f>
        <v>0.229713421045213</v>
      </c>
    </row>
    <row r="132" customFormat="false" ht="15" hidden="false" customHeight="false" outlineLevel="0" collapsed="false">
      <c r="A132" s="9" t="s">
        <v>354</v>
      </c>
      <c r="B132" s="65" t="n">
        <f aca="false">-B129</f>
        <v>-2837.7</v>
      </c>
      <c r="C132" s="65" t="n">
        <f aca="false">B127</f>
        <v>461.76</v>
      </c>
      <c r="D132" s="65" t="n">
        <f aca="false">C127</f>
        <v>577.93519</v>
      </c>
      <c r="E132" s="65" t="n">
        <f aca="false">D127*(1+'Cover &amp; Assumptions'!$B$26)</f>
        <v>8474.15107370001</v>
      </c>
      <c r="F132" s="17" t="s">
        <v>355</v>
      </c>
    </row>
    <row r="133" customFormat="false" ht="15" hidden="false" customHeight="false" outlineLevel="0" collapsed="false">
      <c r="A133" s="27" t="s">
        <v>356</v>
      </c>
      <c r="B133" s="69" t="n">
        <f aca="false">IRR(B132:E132)</f>
        <v>0.545217676225246</v>
      </c>
    </row>
  </sheetData>
  <mergeCells count="1">
    <mergeCell ref="A5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5" min="2" style="0" width="15"/>
    <col collapsed="false" customWidth="true" hidden="false" outlineLevel="0" max="6" min="6" style="0" width="58"/>
  </cols>
  <sheetData>
    <row r="1" customFormat="false" ht="24" hidden="false" customHeight="true" outlineLevel="0" collapsed="false">
      <c r="A1" s="1" t="s">
        <v>357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358</v>
      </c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5" t="s">
        <v>237</v>
      </c>
    </row>
    <row r="5" customFormat="false" ht="15" hidden="false" customHeight="true" outlineLevel="0" collapsed="false">
      <c r="A5" s="6" t="s">
        <v>3</v>
      </c>
      <c r="B5" s="6"/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A6" s="6"/>
      <c r="B6" s="6"/>
      <c r="C6" s="6"/>
      <c r="D6" s="6"/>
      <c r="E6" s="6"/>
      <c r="F6" s="6"/>
      <c r="G6" s="6"/>
      <c r="H6" s="6"/>
    </row>
    <row r="9" customFormat="false" ht="15" hidden="false" customHeight="false" outlineLevel="0" collapsed="false">
      <c r="A9" s="7" t="s">
        <v>238</v>
      </c>
      <c r="B9" s="4"/>
      <c r="C9" s="4"/>
      <c r="D9" s="4"/>
      <c r="E9" s="4"/>
      <c r="F9" s="4"/>
    </row>
    <row r="10" customFormat="false" ht="27.75" hidden="false" customHeight="true" outlineLevel="0" collapsed="false">
      <c r="A10" s="13" t="s">
        <v>13</v>
      </c>
      <c r="B10" s="14" t="s">
        <v>239</v>
      </c>
      <c r="C10" s="14"/>
      <c r="D10" s="14"/>
      <c r="E10" s="14"/>
      <c r="F10" s="14" t="s">
        <v>240</v>
      </c>
    </row>
    <row r="11" customFormat="false" ht="15" hidden="false" customHeight="false" outlineLevel="0" collapsed="false">
      <c r="A11" s="27" t="s">
        <v>241</v>
      </c>
      <c r="B11" s="48" t="n">
        <f aca="false">'Cover &amp; Assumptions'!$B$68</f>
        <v>1050</v>
      </c>
      <c r="F11" s="17" t="s">
        <v>55</v>
      </c>
    </row>
    <row r="12" customFormat="false" ht="15" hidden="false" customHeight="false" outlineLevel="0" collapsed="false">
      <c r="A12" s="15" t="s">
        <v>242</v>
      </c>
      <c r="B12" s="26" t="n">
        <f aca="false">'Standalone Summary'!$D$24</f>
        <v>800</v>
      </c>
      <c r="F12" s="17" t="s">
        <v>359</v>
      </c>
    </row>
    <row r="13" customFormat="false" ht="15" hidden="false" customHeight="false" outlineLevel="0" collapsed="false">
      <c r="A13" s="15" t="s">
        <v>244</v>
      </c>
      <c r="B13" s="23" t="n">
        <f aca="false">-'Cover &amp; Assumptions'!$B$90</f>
        <v>-12</v>
      </c>
      <c r="F13" s="17" t="s">
        <v>245</v>
      </c>
    </row>
    <row r="14" customFormat="false" ht="15" hidden="false" customHeight="false" outlineLevel="0" collapsed="false">
      <c r="A14" s="27" t="s">
        <v>246</v>
      </c>
      <c r="B14" s="29" t="n">
        <f aca="false">B12+B13</f>
        <v>788</v>
      </c>
    </row>
    <row r="15" customFormat="false" ht="15" hidden="false" customHeight="false" outlineLevel="0" collapsed="false">
      <c r="A15" s="27" t="s">
        <v>247</v>
      </c>
      <c r="B15" s="49" t="n">
        <f aca="false">B11-B14</f>
        <v>262</v>
      </c>
      <c r="F15" s="17" t="s">
        <v>248</v>
      </c>
    </row>
    <row r="17" customFormat="false" ht="15" hidden="false" customHeight="false" outlineLevel="0" collapsed="false">
      <c r="A17" s="15" t="s">
        <v>249</v>
      </c>
      <c r="B17" s="39" t="n">
        <f aca="false">B11/B12</f>
        <v>1.3125</v>
      </c>
    </row>
    <row r="18" customFormat="false" ht="15" hidden="false" customHeight="false" outlineLevel="0" collapsed="false">
      <c r="A18" s="15" t="s">
        <v>250</v>
      </c>
      <c r="B18" s="39" t="n">
        <f aca="false">B11/'Standalone Summary'!$D$42</f>
        <v>14.1891891891892</v>
      </c>
    </row>
    <row r="19" customFormat="false" ht="15" hidden="false" customHeight="false" outlineLevel="0" collapsed="false">
      <c r="A19" s="15" t="s">
        <v>251</v>
      </c>
      <c r="B19" s="34" t="n">
        <f aca="false">B11/'Cover &amp; Assumptions'!$B$69-1</f>
        <v>0.193181818181818</v>
      </c>
      <c r="F19" s="17" t="s">
        <v>252</v>
      </c>
    </row>
    <row r="20" customFormat="false" ht="15" hidden="false" customHeight="false" outlineLevel="0" collapsed="false">
      <c r="A20" s="15" t="s">
        <v>253</v>
      </c>
      <c r="B20" s="34" t="n">
        <f aca="false">'Standalone Summary'!$D$42/B11</f>
        <v>0.0704761904761905</v>
      </c>
      <c r="F20" s="17" t="s">
        <v>254</v>
      </c>
    </row>
    <row r="21" customFormat="false" ht="15" hidden="false" customHeight="false" outlineLevel="0" collapsed="false">
      <c r="A21" s="15" t="s">
        <v>255</v>
      </c>
      <c r="B21" s="34" t="n">
        <f aca="false">'Cover &amp; Assumptions'!$B$73*(1-'Cover &amp; Assumptions'!$B$20)</f>
        <v>0.03589</v>
      </c>
    </row>
    <row r="22" customFormat="false" ht="15" hidden="false" customHeight="false" outlineLevel="0" collapsed="false">
      <c r="A22" s="27" t="s">
        <v>256</v>
      </c>
      <c r="B22" s="33" t="n">
        <f aca="false">B20-B21</f>
        <v>0.0345861904761905</v>
      </c>
    </row>
    <row r="24" customFormat="false" ht="15" hidden="false" customHeight="false" outlineLevel="0" collapsed="false">
      <c r="A24" s="7" t="s">
        <v>257</v>
      </c>
      <c r="B24" s="4"/>
      <c r="C24" s="4"/>
      <c r="D24" s="4"/>
      <c r="E24" s="4"/>
      <c r="F24" s="4"/>
    </row>
    <row r="25" customFormat="false" ht="27.75" hidden="false" customHeight="true" outlineLevel="0" collapsed="false">
      <c r="A25" s="13" t="s">
        <v>13</v>
      </c>
      <c r="B25" s="14" t="s">
        <v>239</v>
      </c>
      <c r="C25" s="14" t="s">
        <v>258</v>
      </c>
      <c r="D25" s="14"/>
      <c r="E25" s="14"/>
      <c r="F25" s="14" t="s">
        <v>117</v>
      </c>
    </row>
    <row r="26" customFormat="false" ht="15" hidden="false" customHeight="false" outlineLevel="0" collapsed="false">
      <c r="A26" s="15" t="s">
        <v>259</v>
      </c>
      <c r="B26" s="26" t="n">
        <f aca="false">'Cover &amp; Assumptions'!$B$71</f>
        <v>525</v>
      </c>
      <c r="C26" s="34" t="n">
        <f aca="false">B26/B28</f>
        <v>0.5</v>
      </c>
    </row>
    <row r="27" customFormat="false" ht="15" hidden="false" customHeight="false" outlineLevel="0" collapsed="false">
      <c r="A27" s="15" t="s">
        <v>260</v>
      </c>
      <c r="B27" s="26" t="n">
        <f aca="false">'Cover &amp; Assumptions'!$B$72</f>
        <v>525</v>
      </c>
      <c r="C27" s="34" t="n">
        <f aca="false">B27/B28</f>
        <v>0.5</v>
      </c>
    </row>
    <row r="28" customFormat="false" ht="15" hidden="false" customHeight="false" outlineLevel="0" collapsed="false">
      <c r="A28" s="27" t="s">
        <v>261</v>
      </c>
      <c r="B28" s="29" t="n">
        <f aca="false">B26+B27</f>
        <v>1050</v>
      </c>
    </row>
    <row r="29" customFormat="false" ht="15" hidden="false" customHeight="false" outlineLevel="0" collapsed="false">
      <c r="A29" s="15" t="s">
        <v>262</v>
      </c>
      <c r="B29" s="23" t="n">
        <f aca="false">B11</f>
        <v>1050</v>
      </c>
    </row>
    <row r="30" customFormat="false" ht="15" hidden="false" customHeight="false" outlineLevel="0" collapsed="false">
      <c r="A30" s="27" t="s">
        <v>263</v>
      </c>
      <c r="B30" s="29" t="n">
        <f aca="false">B29</f>
        <v>1050</v>
      </c>
    </row>
    <row r="31" customFormat="false" ht="15" hidden="false" customHeight="false" outlineLevel="0" collapsed="false">
      <c r="A31" s="12" t="s">
        <v>264</v>
      </c>
      <c r="B31" s="50" t="n">
        <f aca="false">'Cover &amp; Assumptions'!$B$89</f>
        <v>95</v>
      </c>
    </row>
    <row r="33" customFormat="false" ht="15" hidden="false" customHeight="false" outlineLevel="0" collapsed="false">
      <c r="A33" s="7" t="s">
        <v>265</v>
      </c>
      <c r="B33" s="4"/>
      <c r="C33" s="4"/>
      <c r="D33" s="4"/>
      <c r="E33" s="4"/>
      <c r="F33" s="4"/>
    </row>
    <row r="34" customFormat="false" ht="27.75" hidden="false" customHeight="true" outlineLevel="0" collapsed="false">
      <c r="A34" s="13" t="s">
        <v>113</v>
      </c>
      <c r="B34" s="14" t="s">
        <v>266</v>
      </c>
      <c r="C34" s="14" t="s">
        <v>360</v>
      </c>
      <c r="D34" s="14" t="s">
        <v>268</v>
      </c>
      <c r="E34" s="14" t="s">
        <v>269</v>
      </c>
      <c r="F34" s="14" t="s">
        <v>270</v>
      </c>
    </row>
    <row r="35" customFormat="false" ht="15" hidden="false" customHeight="false" outlineLevel="0" collapsed="false">
      <c r="A35" s="40" t="s">
        <v>118</v>
      </c>
      <c r="B35" s="26" t="n">
        <f aca="false">'Standalone Summary'!$B$11</f>
        <v>1800</v>
      </c>
      <c r="C35" s="26" t="n">
        <f aca="false">'Standalone Summary'!$D$11</f>
        <v>520</v>
      </c>
      <c r="D35" s="23" t="n">
        <f aca="false">-'Cover &amp; Assumptions'!$B$72+B68</f>
        <v>-337.5</v>
      </c>
      <c r="E35" s="23" t="n">
        <f aca="false">B35+C35+D35</f>
        <v>1982.5</v>
      </c>
      <c r="F35" s="17" t="s">
        <v>271</v>
      </c>
    </row>
    <row r="36" customFormat="false" ht="15" hidden="false" customHeight="false" outlineLevel="0" collapsed="false">
      <c r="A36" s="40" t="s">
        <v>119</v>
      </c>
      <c r="B36" s="26" t="n">
        <f aca="false">'Standalone Summary'!$B$12</f>
        <v>6200</v>
      </c>
      <c r="C36" s="26" t="n">
        <f aca="false">'Standalone Summary'!$D$12</f>
        <v>1650</v>
      </c>
      <c r="D36" s="23" t="n">
        <v>0</v>
      </c>
      <c r="E36" s="23" t="n">
        <f aca="false">B36+C36+D36</f>
        <v>7850</v>
      </c>
    </row>
    <row r="37" customFormat="false" ht="15" hidden="false" customHeight="false" outlineLevel="0" collapsed="false">
      <c r="A37" s="40" t="s">
        <v>120</v>
      </c>
      <c r="B37" s="26" t="n">
        <f aca="false">'Standalone Summary'!$B$13</f>
        <v>19500</v>
      </c>
      <c r="C37" s="26" t="n">
        <f aca="false">'Standalone Summary'!$D$13</f>
        <v>4900</v>
      </c>
      <c r="D37" s="23" t="n">
        <v>0</v>
      </c>
      <c r="E37" s="23" t="n">
        <f aca="false">B37+C37+D37</f>
        <v>24400</v>
      </c>
    </row>
    <row r="38" customFormat="false" ht="15" hidden="false" customHeight="false" outlineLevel="0" collapsed="false">
      <c r="A38" s="40" t="s">
        <v>121</v>
      </c>
      <c r="B38" s="26" t="n">
        <f aca="false">'Standalone Summary'!$B$14</f>
        <v>8400</v>
      </c>
      <c r="C38" s="26" t="n">
        <f aca="false">'Standalone Summary'!$D$14</f>
        <v>1450</v>
      </c>
      <c r="D38" s="23" t="n">
        <v>0</v>
      </c>
      <c r="E38" s="23" t="n">
        <f aca="false">B38+C38+D38</f>
        <v>9850</v>
      </c>
    </row>
    <row r="39" customFormat="false" ht="15" hidden="false" customHeight="false" outlineLevel="0" collapsed="false">
      <c r="A39" s="40" t="s">
        <v>122</v>
      </c>
      <c r="B39" s="26" t="n">
        <f aca="false">'Standalone Summary'!$B$15</f>
        <v>1150</v>
      </c>
      <c r="C39" s="26" t="n">
        <f aca="false">'Standalone Summary'!$D$15</f>
        <v>340</v>
      </c>
      <c r="D39" s="23" t="n">
        <f aca="false">-'Cover &amp; Assumptions'!$B$90</f>
        <v>-12</v>
      </c>
      <c r="E39" s="23" t="n">
        <f aca="false">B39+C39+D39</f>
        <v>1478</v>
      </c>
      <c r="F39" s="17" t="s">
        <v>272</v>
      </c>
    </row>
    <row r="40" customFormat="false" ht="15" hidden="false" customHeight="false" outlineLevel="0" collapsed="false">
      <c r="A40" s="40" t="s">
        <v>123</v>
      </c>
      <c r="B40" s="26" t="n">
        <f aca="false">'Standalone Summary'!$B$16</f>
        <v>2950</v>
      </c>
      <c r="C40" s="26" t="n">
        <f aca="false">'Standalone Summary'!$D$16</f>
        <v>640</v>
      </c>
      <c r="D40" s="23" t="n">
        <v>0</v>
      </c>
      <c r="E40" s="23" t="n">
        <f aca="false">B40+C40+D40</f>
        <v>3590</v>
      </c>
    </row>
    <row r="41" customFormat="false" ht="15" hidden="false" customHeight="false" outlineLevel="0" collapsed="false">
      <c r="A41" s="40" t="s">
        <v>273</v>
      </c>
      <c r="B41" s="23" t="n">
        <v>0</v>
      </c>
      <c r="C41" s="23" t="n">
        <v>0</v>
      </c>
      <c r="D41" s="23" t="n">
        <f aca="false">B15</f>
        <v>262</v>
      </c>
      <c r="E41" s="23" t="n">
        <f aca="false">B41+C41+D41</f>
        <v>262</v>
      </c>
      <c r="F41" s="17" t="s">
        <v>274</v>
      </c>
    </row>
    <row r="42" customFormat="false" ht="15" hidden="false" customHeight="false" outlineLevel="0" collapsed="false">
      <c r="A42" s="40" t="s">
        <v>124</v>
      </c>
      <c r="B42" s="26" t="n">
        <f aca="false">'Standalone Summary'!$B$17</f>
        <v>1000</v>
      </c>
      <c r="C42" s="26" t="n">
        <f aca="false">'Standalone Summary'!$D$17</f>
        <v>300</v>
      </c>
      <c r="D42" s="23" t="n">
        <v>0</v>
      </c>
      <c r="E42" s="23" t="n">
        <f aca="false">B42+C42+D42</f>
        <v>1300</v>
      </c>
    </row>
    <row r="43" customFormat="false" ht="15" hidden="false" customHeight="false" outlineLevel="0" collapsed="false">
      <c r="A43" s="27" t="s">
        <v>125</v>
      </c>
      <c r="B43" s="29" t="n">
        <f aca="false">SUM(B35:B42)</f>
        <v>41000</v>
      </c>
      <c r="C43" s="29" t="n">
        <f aca="false">SUM(C35:C42)</f>
        <v>9800</v>
      </c>
      <c r="D43" s="29" t="n">
        <f aca="false">SUM(D35:D42)</f>
        <v>-87.5</v>
      </c>
      <c r="E43" s="29" t="n">
        <f aca="false">SUM(E35:E42)</f>
        <v>50712.5</v>
      </c>
    </row>
    <row r="45" customFormat="false" ht="15" hidden="false" customHeight="false" outlineLevel="0" collapsed="false">
      <c r="A45" s="40" t="s">
        <v>126</v>
      </c>
      <c r="B45" s="26" t="n">
        <f aca="false">'Standalone Summary'!$B$20</f>
        <v>32500</v>
      </c>
      <c r="C45" s="26" t="n">
        <f aca="false">'Standalone Summary'!$D$20</f>
        <v>8200</v>
      </c>
      <c r="D45" s="23" t="n">
        <v>0</v>
      </c>
      <c r="E45" s="23" t="n">
        <f aca="false">B45+C45+D45</f>
        <v>40700</v>
      </c>
    </row>
    <row r="46" customFormat="false" ht="15" hidden="false" customHeight="false" outlineLevel="0" collapsed="false">
      <c r="A46" s="40" t="s">
        <v>128</v>
      </c>
      <c r="B46" s="26" t="n">
        <f aca="false">'Standalone Summary'!$B$21</f>
        <v>4300</v>
      </c>
      <c r="C46" s="26" t="n">
        <f aca="false">'Standalone Summary'!$D$21</f>
        <v>550</v>
      </c>
      <c r="D46" s="23" t="n">
        <f aca="false">'Cover &amp; Assumptions'!$B$71</f>
        <v>525</v>
      </c>
      <c r="E46" s="23" t="n">
        <f aca="false">B46+C46+D46</f>
        <v>5375</v>
      </c>
      <c r="F46" s="17" t="s">
        <v>275</v>
      </c>
    </row>
    <row r="47" customFormat="false" ht="15" hidden="false" customHeight="false" outlineLevel="0" collapsed="false">
      <c r="A47" s="40" t="s">
        <v>129</v>
      </c>
      <c r="B47" s="26" t="n">
        <f aca="false">'Standalone Summary'!$B$22</f>
        <v>900</v>
      </c>
      <c r="C47" s="26" t="n">
        <f aca="false">'Standalone Summary'!$D$22</f>
        <v>250</v>
      </c>
      <c r="D47" s="23" t="n">
        <v>0</v>
      </c>
      <c r="E47" s="23" t="n">
        <f aca="false">B47+C47+D47</f>
        <v>1150</v>
      </c>
    </row>
    <row r="48" customFormat="false" ht="15" hidden="false" customHeight="false" outlineLevel="0" collapsed="false">
      <c r="A48" s="27" t="s">
        <v>130</v>
      </c>
      <c r="B48" s="29" t="n">
        <f aca="false">SUM(B45:B47)</f>
        <v>37700</v>
      </c>
      <c r="C48" s="29" t="n">
        <f aca="false">SUM(C45:C47)</f>
        <v>9000</v>
      </c>
      <c r="D48" s="29" t="n">
        <f aca="false">SUM(D45:D47)</f>
        <v>525</v>
      </c>
      <c r="E48" s="29" t="n">
        <f aca="false">SUM(E45:E47)</f>
        <v>47225</v>
      </c>
    </row>
    <row r="49" customFormat="false" ht="15" hidden="false" customHeight="false" outlineLevel="0" collapsed="false">
      <c r="A49" s="40" t="s">
        <v>131</v>
      </c>
      <c r="B49" s="26" t="n">
        <f aca="false">'Standalone Summary'!$B$24</f>
        <v>3300</v>
      </c>
      <c r="C49" s="26" t="n">
        <f aca="false">'Standalone Summary'!$D$24</f>
        <v>800</v>
      </c>
      <c r="D49" s="23" t="n">
        <f aca="false">-'Standalone Summary'!$D$24+B68</f>
        <v>-612.5</v>
      </c>
      <c r="E49" s="23" t="n">
        <f aca="false">B49+C49+D49</f>
        <v>3487.5</v>
      </c>
      <c r="F49" s="17" t="s">
        <v>276</v>
      </c>
    </row>
    <row r="50" customFormat="false" ht="15" hidden="false" customHeight="false" outlineLevel="0" collapsed="false">
      <c r="A50" s="27" t="s">
        <v>132</v>
      </c>
      <c r="B50" s="30"/>
      <c r="C50" s="30"/>
      <c r="D50" s="30"/>
      <c r="E50" s="30" t="n">
        <f aca="false">E48+E49</f>
        <v>50712.5</v>
      </c>
    </row>
    <row r="51" customFormat="false" ht="15" hidden="false" customHeight="false" outlineLevel="0" collapsed="false">
      <c r="A51" s="12" t="s">
        <v>277</v>
      </c>
      <c r="B51" s="31"/>
      <c r="C51" s="31"/>
      <c r="D51" s="31"/>
      <c r="E51" s="31" t="n">
        <f aca="false">E43-E50</f>
        <v>0</v>
      </c>
      <c r="F51" s="17" t="s">
        <v>278</v>
      </c>
    </row>
    <row r="53" customFormat="false" ht="15" hidden="false" customHeight="false" outlineLevel="0" collapsed="false">
      <c r="A53" s="7" t="s">
        <v>279</v>
      </c>
      <c r="B53" s="4"/>
      <c r="C53" s="4"/>
      <c r="D53" s="4"/>
      <c r="E53" s="4"/>
      <c r="F53" s="4"/>
    </row>
    <row r="54" customFormat="false" ht="27.75" hidden="false" customHeight="true" outlineLevel="0" collapsed="false">
      <c r="A54" s="13" t="s">
        <v>13</v>
      </c>
      <c r="B54" s="14" t="s">
        <v>239</v>
      </c>
      <c r="C54" s="14"/>
      <c r="D54" s="14"/>
      <c r="E54" s="14"/>
      <c r="F54" s="14" t="s">
        <v>117</v>
      </c>
    </row>
    <row r="55" customFormat="false" ht="15" hidden="false" customHeight="false" outlineLevel="0" collapsed="false">
      <c r="A55" s="15" t="s">
        <v>280</v>
      </c>
      <c r="B55" s="26" t="n">
        <f aca="false">'Standalone Summary'!$B$46</f>
        <v>3050</v>
      </c>
    </row>
    <row r="56" customFormat="false" ht="15" hidden="false" customHeight="false" outlineLevel="0" collapsed="false">
      <c r="A56" s="15" t="s">
        <v>281</v>
      </c>
      <c r="B56" s="23" t="n">
        <f aca="false">-B15</f>
        <v>-262</v>
      </c>
      <c r="F56" s="17" t="s">
        <v>282</v>
      </c>
    </row>
    <row r="57" customFormat="false" ht="15" hidden="false" customHeight="false" outlineLevel="0" collapsed="false">
      <c r="A57" s="27" t="s">
        <v>283</v>
      </c>
      <c r="B57" s="29" t="n">
        <f aca="false">B55+B56</f>
        <v>2788</v>
      </c>
    </row>
    <row r="58" customFormat="false" ht="15" hidden="false" customHeight="false" outlineLevel="0" collapsed="false">
      <c r="A58" s="15" t="s">
        <v>284</v>
      </c>
      <c r="B58" s="26" t="n">
        <f aca="false">'Standalone Summary'!$B$47</f>
        <v>22600</v>
      </c>
    </row>
    <row r="59" customFormat="false" ht="15" hidden="false" customHeight="false" outlineLevel="0" collapsed="false">
      <c r="A59" s="15" t="s">
        <v>361</v>
      </c>
      <c r="B59" s="26" t="n">
        <f aca="false">'Standalone Summary'!$D$47</f>
        <v>4450</v>
      </c>
    </row>
    <row r="60" customFormat="false" ht="15" hidden="false" customHeight="false" outlineLevel="0" collapsed="false">
      <c r="A60" s="27" t="s">
        <v>286</v>
      </c>
      <c r="B60" s="29" t="n">
        <f aca="false">B58+B59</f>
        <v>27050</v>
      </c>
    </row>
    <row r="61" customFormat="false" ht="15" hidden="false" customHeight="false" outlineLevel="0" collapsed="false">
      <c r="A61" s="27" t="s">
        <v>287</v>
      </c>
      <c r="B61" s="51" t="n">
        <f aca="false">B57/B60</f>
        <v>0.103068391866913</v>
      </c>
    </row>
    <row r="62" customFormat="false" ht="15" hidden="false" customHeight="false" outlineLevel="0" collapsed="false">
      <c r="A62" s="12" t="s">
        <v>288</v>
      </c>
      <c r="B62" s="52" t="n">
        <f aca="false">'Standalone Summary'!$B$48</f>
        <v>0.134955752212389</v>
      </c>
    </row>
    <row r="63" customFormat="false" ht="15" hidden="false" customHeight="false" outlineLevel="0" collapsed="false">
      <c r="A63" s="12" t="s">
        <v>289</v>
      </c>
      <c r="B63" s="53" t="n">
        <f aca="false">(B61-B62)*10000</f>
        <v>-318.873603454763</v>
      </c>
    </row>
    <row r="65" customFormat="false" ht="15" hidden="false" customHeight="false" outlineLevel="0" collapsed="false">
      <c r="A65" s="15" t="s">
        <v>18</v>
      </c>
      <c r="B65" s="54" t="n">
        <f aca="false">'Cover &amp; Assumptions'!$B$21</f>
        <v>0.11</v>
      </c>
    </row>
    <row r="66" customFormat="false" ht="15" hidden="false" customHeight="false" outlineLevel="0" collapsed="false">
      <c r="A66" s="15" t="s">
        <v>290</v>
      </c>
      <c r="B66" s="23" t="n">
        <f aca="false">B65*B60</f>
        <v>2975.5</v>
      </c>
    </row>
    <row r="67" customFormat="false" ht="15" hidden="false" customHeight="false" outlineLevel="0" collapsed="false">
      <c r="A67" s="15" t="s">
        <v>291</v>
      </c>
      <c r="B67" s="23" t="n">
        <f aca="false">B66-B57</f>
        <v>187.5</v>
      </c>
    </row>
    <row r="68" customFormat="false" ht="15" hidden="false" customHeight="false" outlineLevel="0" collapsed="false">
      <c r="A68" s="27" t="s">
        <v>292</v>
      </c>
      <c r="B68" s="49" t="n">
        <f aca="false">MAX(0,B67)</f>
        <v>187.5</v>
      </c>
      <c r="F68" s="17" t="s">
        <v>293</v>
      </c>
    </row>
    <row r="69" customFormat="false" ht="15" hidden="false" customHeight="false" outlineLevel="0" collapsed="false">
      <c r="A69" s="15" t="s">
        <v>294</v>
      </c>
      <c r="B69" s="55" t="n">
        <f aca="false">'Cover &amp; Assumptions'!$B$23</f>
        <v>44</v>
      </c>
      <c r="F69" s="17" t="s">
        <v>295</v>
      </c>
    </row>
    <row r="70" customFormat="false" ht="15" hidden="false" customHeight="false" outlineLevel="0" collapsed="false">
      <c r="A70" s="15" t="s">
        <v>296</v>
      </c>
      <c r="B70" s="56" t="n">
        <f aca="false">B68/B69</f>
        <v>4.26136363636364</v>
      </c>
    </row>
    <row r="71" customFormat="false" ht="15" hidden="false" customHeight="false" outlineLevel="0" collapsed="false">
      <c r="A71" s="15" t="s">
        <v>297</v>
      </c>
      <c r="B71" s="57" t="n">
        <f aca="false">'Cover &amp; Assumptions'!$B$24</f>
        <v>120</v>
      </c>
    </row>
    <row r="72" customFormat="false" ht="15" hidden="false" customHeight="false" outlineLevel="0" collapsed="false">
      <c r="A72" s="27" t="s">
        <v>298</v>
      </c>
      <c r="B72" s="58" t="n">
        <f aca="false">B71+B70</f>
        <v>124.261363636364</v>
      </c>
    </row>
    <row r="73" customFormat="false" ht="15" hidden="false" customHeight="false" outlineLevel="0" collapsed="false">
      <c r="A73" s="15" t="s">
        <v>299</v>
      </c>
      <c r="B73" s="34" t="n">
        <f aca="false">B70/B72</f>
        <v>0.0342935528120713</v>
      </c>
    </row>
    <row r="74" customFormat="false" ht="15" hidden="false" customHeight="false" outlineLevel="0" collapsed="false">
      <c r="A74" s="15" t="s">
        <v>300</v>
      </c>
      <c r="B74" s="34" t="n">
        <f aca="false">B68/('Cover &amp; Assumptions'!$B$24*'Cover &amp; Assumptions'!$B$23)</f>
        <v>0.0355113636363636</v>
      </c>
      <c r="F74" s="17" t="s">
        <v>301</v>
      </c>
    </row>
    <row r="76" customFormat="false" ht="15" hidden="false" customHeight="false" outlineLevel="0" collapsed="false">
      <c r="A76" s="27" t="s">
        <v>302</v>
      </c>
      <c r="B76" s="32" t="n">
        <f aca="false">B57+B68</f>
        <v>2975.5</v>
      </c>
    </row>
    <row r="77" customFormat="false" ht="15" hidden="false" customHeight="false" outlineLevel="0" collapsed="false">
      <c r="A77" s="27" t="s">
        <v>303</v>
      </c>
      <c r="B77" s="59" t="n">
        <f aca="false">B76/B60</f>
        <v>0.11</v>
      </c>
    </row>
    <row r="78" customFormat="false" ht="15" hidden="false" customHeight="false" outlineLevel="0" collapsed="false">
      <c r="A78" s="12" t="s">
        <v>304</v>
      </c>
      <c r="B78" s="53" t="n">
        <f aca="false">(B61-'Cover &amp; Assumptions'!$B$22)*10000</f>
        <v>330.683918669131</v>
      </c>
    </row>
    <row r="79" customFormat="false" ht="15" hidden="false" customHeight="false" outlineLevel="0" collapsed="false">
      <c r="A79" s="12" t="s">
        <v>305</v>
      </c>
      <c r="B79" s="45" t="n">
        <f aca="false">B55/B60</f>
        <v>0.11275415896488</v>
      </c>
      <c r="F79" s="17" t="s">
        <v>306</v>
      </c>
    </row>
    <row r="80" customFormat="false" ht="15" hidden="false" customHeight="false" outlineLevel="0" collapsed="false">
      <c r="A80" s="12" t="s">
        <v>307</v>
      </c>
      <c r="B80" s="31" t="n">
        <f aca="false">MAX(0,'Cover &amp; Assumptions'!$B$21*B60-B55)</f>
        <v>0</v>
      </c>
      <c r="F80" s="17" t="s">
        <v>308</v>
      </c>
    </row>
    <row r="81" customFormat="false" ht="15" hidden="false" customHeight="false" outlineLevel="0" collapsed="false">
      <c r="A81" s="12" t="s">
        <v>309</v>
      </c>
      <c r="B81" s="47" t="n">
        <f aca="false">MIN(1,B68/B11)</f>
        <v>0.178571428571429</v>
      </c>
      <c r="F81" s="17" t="s">
        <v>310</v>
      </c>
    </row>
    <row r="83" customFormat="false" ht="15" hidden="false" customHeight="false" outlineLevel="0" collapsed="false">
      <c r="A83" s="7" t="s">
        <v>311</v>
      </c>
      <c r="B83" s="4"/>
      <c r="C83" s="4"/>
      <c r="D83" s="4"/>
      <c r="E83" s="4"/>
      <c r="F83" s="4"/>
    </row>
    <row r="84" customFormat="false" ht="27.75" hidden="false" customHeight="true" outlineLevel="0" collapsed="false">
      <c r="A84" s="13" t="s">
        <v>113</v>
      </c>
      <c r="B84" s="14" t="s">
        <v>312</v>
      </c>
      <c r="C84" s="14" t="s">
        <v>313</v>
      </c>
      <c r="D84" s="14" t="s">
        <v>314</v>
      </c>
      <c r="E84" s="14"/>
      <c r="F84" s="14" t="s">
        <v>117</v>
      </c>
    </row>
    <row r="85" customFormat="false" ht="15" hidden="false" customHeight="false" outlineLevel="0" collapsed="false">
      <c r="A85" s="27" t="s">
        <v>315</v>
      </c>
    </row>
    <row r="86" customFormat="false" ht="15" hidden="false" customHeight="false" outlineLevel="0" collapsed="false">
      <c r="A86" s="40" t="s">
        <v>143</v>
      </c>
      <c r="B86" s="24" t="n">
        <f aca="false">'Standalone Summary'!$C$119</f>
        <v>1498.53</v>
      </c>
      <c r="C86" s="24" t="n">
        <f aca="false">'Standalone Summary'!$D$119</f>
        <v>1565.96385</v>
      </c>
      <c r="D86" s="24" t="n">
        <f aca="false">'Standalone Summary'!$E$119</f>
        <v>1636.43222325</v>
      </c>
    </row>
    <row r="87" customFormat="false" ht="15" hidden="false" customHeight="false" outlineLevel="0" collapsed="false">
      <c r="A87" s="40" t="s">
        <v>46</v>
      </c>
      <c r="B87" s="25" t="n">
        <f aca="false">-'Standalone Summary'!$C$120</f>
        <v>-100.8</v>
      </c>
      <c r="C87" s="25" t="n">
        <f aca="false">-'Standalone Summary'!$D$120</f>
        <v>-105.84</v>
      </c>
      <c r="D87" s="25" t="n">
        <f aca="false">-'Standalone Summary'!$E$120</f>
        <v>-111.132</v>
      </c>
    </row>
    <row r="88" customFormat="false" ht="15" hidden="false" customHeight="false" outlineLevel="0" collapsed="false">
      <c r="A88" s="40" t="s">
        <v>48</v>
      </c>
      <c r="B88" s="25" t="n">
        <f aca="false">-'Standalone Summary'!$C$121</f>
        <v>-807.3</v>
      </c>
      <c r="C88" s="25" t="n">
        <f aca="false">-'Standalone Summary'!$D$121</f>
        <v>-835.5555</v>
      </c>
      <c r="D88" s="25" t="n">
        <f aca="false">-'Standalone Summary'!$E$121</f>
        <v>-864.7999425</v>
      </c>
    </row>
    <row r="89" customFormat="false" ht="15" hidden="false" customHeight="false" outlineLevel="0" collapsed="false">
      <c r="A89" s="42" t="s">
        <v>316</v>
      </c>
      <c r="B89" s="43" t="n">
        <f aca="false">SUM(B86:B88)</f>
        <v>590.43</v>
      </c>
      <c r="C89" s="43" t="n">
        <f aca="false">SUM(C86:C88)</f>
        <v>624.56835</v>
      </c>
      <c r="D89" s="43" t="n">
        <f aca="false">SUM(D86:D88)</f>
        <v>660.50028075</v>
      </c>
    </row>
    <row r="90" customFormat="false" ht="15" hidden="false" customHeight="false" outlineLevel="0" collapsed="false">
      <c r="A90" s="27" t="s">
        <v>362</v>
      </c>
    </row>
    <row r="91" customFormat="false" ht="15" hidden="false" customHeight="false" outlineLevel="0" collapsed="false">
      <c r="A91" s="40" t="s">
        <v>143</v>
      </c>
      <c r="B91" s="24" t="n">
        <f aca="false">'Standalone Summary'!$C$145</f>
        <v>318.27</v>
      </c>
      <c r="C91" s="24" t="n">
        <f aca="false">'Standalone Summary'!$D$145</f>
        <v>327.8181</v>
      </c>
      <c r="D91" s="24" t="n">
        <f aca="false">'Standalone Summary'!$E$145</f>
        <v>337.652643</v>
      </c>
    </row>
    <row r="92" customFormat="false" ht="15" hidden="false" customHeight="false" outlineLevel="0" collapsed="false">
      <c r="A92" s="40" t="s">
        <v>46</v>
      </c>
      <c r="B92" s="25" t="n">
        <f aca="false">-'Standalone Summary'!$C$146</f>
        <v>-14.56</v>
      </c>
      <c r="C92" s="25" t="n">
        <f aca="false">-'Standalone Summary'!$D$146</f>
        <v>-15.1424</v>
      </c>
      <c r="D92" s="25" t="n">
        <f aca="false">-'Standalone Summary'!$E$146</f>
        <v>-15.748096</v>
      </c>
    </row>
    <row r="93" customFormat="false" ht="15" hidden="false" customHeight="false" outlineLevel="0" collapsed="false">
      <c r="A93" s="40" t="s">
        <v>48</v>
      </c>
      <c r="B93" s="25" t="n">
        <f aca="false">-'Standalone Summary'!$C$147</f>
        <v>-200.85</v>
      </c>
      <c r="C93" s="25" t="n">
        <f aca="false">-'Standalone Summary'!$D$147</f>
        <v>-206.8755</v>
      </c>
      <c r="D93" s="25" t="n">
        <f aca="false">-'Standalone Summary'!$E$147</f>
        <v>-213.081765</v>
      </c>
    </row>
    <row r="94" customFormat="false" ht="15" hidden="false" customHeight="false" outlineLevel="0" collapsed="false">
      <c r="A94" s="42" t="s">
        <v>363</v>
      </c>
      <c r="B94" s="43" t="n">
        <f aca="false">SUM(B91:B93)</f>
        <v>102.86</v>
      </c>
      <c r="C94" s="43" t="n">
        <f aca="false">SUM(C91:C93)</f>
        <v>105.8002</v>
      </c>
      <c r="D94" s="43" t="n">
        <f aca="false">SUM(D91:D93)</f>
        <v>108.822782</v>
      </c>
    </row>
    <row r="95" customFormat="false" ht="15" hidden="false" customHeight="false" outlineLevel="0" collapsed="false">
      <c r="A95" s="27" t="s">
        <v>319</v>
      </c>
      <c r="B95" s="28" t="n">
        <f aca="false">B89+B94</f>
        <v>693.29</v>
      </c>
      <c r="C95" s="28" t="n">
        <f aca="false">C89+C94</f>
        <v>730.36855</v>
      </c>
      <c r="D95" s="28" t="n">
        <f aca="false">D89+D94</f>
        <v>769.32306275</v>
      </c>
    </row>
    <row r="96" customFormat="false" ht="15" hidden="false" customHeight="false" outlineLevel="0" collapsed="false">
      <c r="A96" s="27" t="s">
        <v>320</v>
      </c>
    </row>
    <row r="97" customFormat="false" ht="15" hidden="false" customHeight="false" outlineLevel="0" collapsed="false">
      <c r="A97" s="40" t="s">
        <v>321</v>
      </c>
      <c r="B97" s="24" t="n">
        <f aca="false">'Cover &amp; Assumptions'!$B$75*'Cover &amp; Assumptions'!$B$76</f>
        <v>43.875</v>
      </c>
      <c r="C97" s="24" t="n">
        <f aca="false">'Cover &amp; Assumptions'!$B$75*'Cover &amp; Assumptions'!$B$77</f>
        <v>74.5875</v>
      </c>
      <c r="D97" s="24" t="n">
        <f aca="false">'Cover &amp; Assumptions'!$B$75*'Cover &amp; Assumptions'!$B$78</f>
        <v>87.75</v>
      </c>
      <c r="F97" s="17" t="s">
        <v>322</v>
      </c>
    </row>
    <row r="98" customFormat="false" ht="15" hidden="false" customHeight="false" outlineLevel="0" collapsed="false">
      <c r="A98" s="40" t="s">
        <v>323</v>
      </c>
      <c r="B98" s="24" t="n">
        <f aca="false">'Cover &amp; Assumptions'!$B$85*'Cover &amp; Assumptions'!$B$86</f>
        <v>28.90625</v>
      </c>
      <c r="C98" s="24" t="n">
        <f aca="false">'Cover &amp; Assumptions'!$B$85*'Cover &amp; Assumptions'!$B$87</f>
        <v>57.8125</v>
      </c>
      <c r="D98" s="24" t="n">
        <f aca="false">'Cover &amp; Assumptions'!$B$85*'Cover &amp; Assumptions'!$B$88</f>
        <v>57.8125</v>
      </c>
    </row>
    <row r="99" customFormat="false" ht="15" hidden="false" customHeight="false" outlineLevel="0" collapsed="false">
      <c r="A99" s="40" t="s">
        <v>324</v>
      </c>
      <c r="B99" s="24" t="n">
        <f aca="false">-'Cover &amp; Assumptions'!$B$89</f>
        <v>-95</v>
      </c>
      <c r="C99" s="25" t="n">
        <v>0</v>
      </c>
      <c r="D99" s="25" t="n">
        <v>0</v>
      </c>
      <c r="F99" s="17" t="s">
        <v>325</v>
      </c>
    </row>
    <row r="100" customFormat="false" ht="15" hidden="false" customHeight="false" outlineLevel="0" collapsed="false">
      <c r="A100" s="40" t="s">
        <v>326</v>
      </c>
      <c r="B100" s="24" t="n">
        <f aca="false">-'Cover &amp; Assumptions'!$B$71*'Cover &amp; Assumptions'!$B$73</f>
        <v>-25.4625</v>
      </c>
      <c r="C100" s="24" t="n">
        <f aca="false">-'Cover &amp; Assumptions'!$B$71*'Cover &amp; Assumptions'!$B$73</f>
        <v>-25.4625</v>
      </c>
      <c r="D100" s="24" t="n">
        <f aca="false">-'Cover &amp; Assumptions'!$B$71*'Cover &amp; Assumptions'!$B$73</f>
        <v>-25.4625</v>
      </c>
    </row>
    <row r="101" customFormat="false" ht="15" hidden="false" customHeight="false" outlineLevel="0" collapsed="false">
      <c r="A101" s="40" t="s">
        <v>327</v>
      </c>
      <c r="B101" s="24" t="n">
        <f aca="false">-'Cover &amp; Assumptions'!$B$72*'Cover &amp; Assumptions'!$B$25</f>
        <v>-15.75</v>
      </c>
      <c r="C101" s="24" t="n">
        <f aca="false">-'Cover &amp; Assumptions'!$B$72*'Cover &amp; Assumptions'!$B$25</f>
        <v>-15.75</v>
      </c>
      <c r="D101" s="24" t="n">
        <f aca="false">-'Cover &amp; Assumptions'!$B$72*'Cover &amp; Assumptions'!$B$25</f>
        <v>-15.75</v>
      </c>
      <c r="F101" s="17" t="s">
        <v>328</v>
      </c>
    </row>
    <row r="102" customFormat="false" ht="15" hidden="false" customHeight="false" outlineLevel="0" collapsed="false">
      <c r="A102" s="40" t="s">
        <v>329</v>
      </c>
      <c r="B102" s="25" t="n">
        <f aca="false">$B$68*'Cover &amp; Assumptions'!$B$25</f>
        <v>5.625</v>
      </c>
      <c r="C102" s="25" t="n">
        <f aca="false">$B$68*'Cover &amp; Assumptions'!$B$25</f>
        <v>5.625</v>
      </c>
      <c r="D102" s="25" t="n">
        <f aca="false">$B$68*'Cover &amp; Assumptions'!$B$25</f>
        <v>5.625</v>
      </c>
      <c r="F102" s="17" t="s">
        <v>330</v>
      </c>
    </row>
    <row r="103" customFormat="false" ht="15" hidden="false" customHeight="false" outlineLevel="0" collapsed="false">
      <c r="A103" s="27" t="s">
        <v>331</v>
      </c>
      <c r="B103" s="43" t="n">
        <f aca="false">B95+SUM(B97:B102)</f>
        <v>635.48375</v>
      </c>
      <c r="C103" s="43" t="n">
        <f aca="false">C95+SUM(C97:C102)</f>
        <v>827.18105</v>
      </c>
      <c r="D103" s="43" t="n">
        <f aca="false">D95+SUM(D97:D102)</f>
        <v>879.29806275</v>
      </c>
    </row>
    <row r="104" customFormat="false" ht="15" hidden="false" customHeight="false" outlineLevel="0" collapsed="false">
      <c r="A104" s="15" t="s">
        <v>146</v>
      </c>
      <c r="B104" s="25" t="n">
        <f aca="false">-B103*'Cover &amp; Assumptions'!$B$20</f>
        <v>-165.225775</v>
      </c>
      <c r="C104" s="25" t="n">
        <f aca="false">-C103*'Cover &amp; Assumptions'!$B$20</f>
        <v>-215.067073</v>
      </c>
      <c r="D104" s="25" t="n">
        <f aca="false">-D103*'Cover &amp; Assumptions'!$B$20</f>
        <v>-228.617496315</v>
      </c>
    </row>
    <row r="105" customFormat="false" ht="15" hidden="false" customHeight="false" outlineLevel="0" collapsed="false">
      <c r="A105" s="27" t="s">
        <v>332</v>
      </c>
      <c r="B105" s="44" t="n">
        <f aca="false">B103+B104</f>
        <v>470.257975</v>
      </c>
      <c r="C105" s="44" t="n">
        <f aca="false">C103+C104</f>
        <v>612.113977</v>
      </c>
      <c r="D105" s="44" t="n">
        <f aca="false">D103+D104</f>
        <v>650.680566435</v>
      </c>
    </row>
    <row r="107" customFormat="false" ht="15" hidden="false" customHeight="false" outlineLevel="0" collapsed="false">
      <c r="A107" s="7" t="s">
        <v>333</v>
      </c>
      <c r="B107" s="4"/>
      <c r="C107" s="4"/>
      <c r="D107" s="4"/>
      <c r="E107" s="4"/>
      <c r="F107" s="4"/>
    </row>
    <row r="108" customFormat="false" ht="27.75" hidden="false" customHeight="true" outlineLevel="0" collapsed="false">
      <c r="A108" s="13" t="s">
        <v>13</v>
      </c>
      <c r="B108" s="14" t="s">
        <v>221</v>
      </c>
      <c r="C108" s="14" t="s">
        <v>222</v>
      </c>
      <c r="D108" s="14" t="s">
        <v>223</v>
      </c>
      <c r="E108" s="14"/>
      <c r="F108" s="14" t="s">
        <v>117</v>
      </c>
    </row>
    <row r="109" customFormat="false" ht="15" hidden="false" customHeight="false" outlineLevel="0" collapsed="false">
      <c r="A109" s="15" t="s">
        <v>298</v>
      </c>
      <c r="B109" s="56" t="n">
        <f aca="false">$B$72</f>
        <v>124.261363636364</v>
      </c>
      <c r="C109" s="56" t="n">
        <f aca="false">$B$72</f>
        <v>124.261363636364</v>
      </c>
      <c r="D109" s="56" t="n">
        <f aca="false">$B$72</f>
        <v>124.261363636364</v>
      </c>
      <c r="F109" s="17" t="s">
        <v>334</v>
      </c>
    </row>
    <row r="110" customFormat="false" ht="15" hidden="false" customHeight="false" outlineLevel="0" collapsed="false">
      <c r="A110" s="27" t="s">
        <v>335</v>
      </c>
      <c r="B110" s="60" t="n">
        <f aca="false">B105/B109</f>
        <v>3.78442631915867</v>
      </c>
      <c r="C110" s="60" t="n">
        <f aca="false">C105/C109</f>
        <v>4.92602011668953</v>
      </c>
      <c r="D110" s="60" t="n">
        <f aca="false">D105/D109</f>
        <v>5.23638681721811</v>
      </c>
    </row>
    <row r="111" customFormat="false" ht="15" hidden="false" customHeight="false" outlineLevel="0" collapsed="false">
      <c r="A111" s="15" t="s">
        <v>336</v>
      </c>
      <c r="B111" s="55" t="n">
        <f aca="false">'Standalone Summary'!$C$154</f>
        <v>3.640985</v>
      </c>
      <c r="C111" s="55" t="n">
        <f aca="false">'Standalone Summary'!$D$154</f>
        <v>3.851504825</v>
      </c>
      <c r="D111" s="55" t="n">
        <f aca="false">'Standalone Summary'!$E$154</f>
        <v>4.073085064625</v>
      </c>
    </row>
    <row r="112" customFormat="false" ht="15" hidden="false" customHeight="false" outlineLevel="0" collapsed="false">
      <c r="A112" s="27" t="s">
        <v>337</v>
      </c>
      <c r="B112" s="61" t="n">
        <f aca="false">B110-B111</f>
        <v>0.143441319158665</v>
      </c>
      <c r="C112" s="61" t="n">
        <f aca="false">C110-C111</f>
        <v>1.07451529168953</v>
      </c>
      <c r="D112" s="61" t="n">
        <f aca="false">D110-D111</f>
        <v>1.16330175259311</v>
      </c>
    </row>
    <row r="113" customFormat="false" ht="15" hidden="false" customHeight="false" outlineLevel="0" collapsed="false">
      <c r="A113" s="27" t="s">
        <v>338</v>
      </c>
      <c r="B113" s="62" t="n">
        <f aca="false">B110/B111-1</f>
        <v>0.039396295002222</v>
      </c>
      <c r="C113" s="62" t="n">
        <f aca="false">C110/C111-1</f>
        <v>0.278985835540146</v>
      </c>
      <c r="D113" s="62" t="n">
        <f aca="false">D110/D111-1</f>
        <v>0.285607035977828</v>
      </c>
    </row>
    <row r="115" customFormat="false" ht="15" hidden="false" customHeight="false" outlineLevel="0" collapsed="false">
      <c r="A115" s="63" t="s">
        <v>339</v>
      </c>
    </row>
    <row r="116" customFormat="false" ht="15" hidden="false" customHeight="false" outlineLevel="0" collapsed="false">
      <c r="A116" s="64" t="s">
        <v>340</v>
      </c>
      <c r="B116" s="65" t="n">
        <f aca="false">B105-B102*(1-'Cover &amp; Assumptions'!$B$20)</f>
        <v>466.095475</v>
      </c>
      <c r="C116" s="65" t="n">
        <f aca="false">C105-C102*(1-'Cover &amp; Assumptions'!$B$20)</f>
        <v>607.951477</v>
      </c>
      <c r="D116" s="65" t="n">
        <f aca="false">D105-D102*(1-'Cover &amp; Assumptions'!$B$20)</f>
        <v>646.518066435</v>
      </c>
    </row>
    <row r="117" customFormat="false" ht="15" hidden="false" customHeight="false" outlineLevel="0" collapsed="false">
      <c r="A117" s="64" t="s">
        <v>341</v>
      </c>
      <c r="B117" s="66" t="n">
        <f aca="false">B116/'Cover &amp; Assumptions'!$B$24</f>
        <v>3.88412895833333</v>
      </c>
      <c r="C117" s="66" t="n">
        <f aca="false">C116/'Cover &amp; Assumptions'!$B$24</f>
        <v>5.06626230833333</v>
      </c>
      <c r="D117" s="66" t="n">
        <f aca="false">D116/'Cover &amp; Assumptions'!$B$24</f>
        <v>5.387650553625</v>
      </c>
    </row>
    <row r="118" customFormat="false" ht="15" hidden="false" customHeight="false" outlineLevel="0" collapsed="false">
      <c r="A118" s="64" t="s">
        <v>342</v>
      </c>
      <c r="B118" s="67" t="n">
        <f aca="false">B117/B111-1</f>
        <v>0.0667797198651829</v>
      </c>
      <c r="C118" s="67" t="n">
        <f aca="false">C117/C111-1</f>
        <v>0.315398146575951</v>
      </c>
      <c r="D118" s="67" t="n">
        <f aca="false">D117/D111-1</f>
        <v>0.322744422996977</v>
      </c>
    </row>
    <row r="120" customFormat="false" ht="15" hidden="false" customHeight="false" outlineLevel="0" collapsed="false">
      <c r="A120" s="12" t="s">
        <v>343</v>
      </c>
      <c r="B120" s="46" t="n">
        <f aca="false">('Standalone Summary'!$B$24-'Standalone Summary'!$B$50)/'Cover &amp; Assumptions'!$B$24</f>
        <v>25.4166666666667</v>
      </c>
    </row>
    <row r="121" customFormat="false" ht="15" hidden="false" customHeight="false" outlineLevel="0" collapsed="false">
      <c r="A121" s="12" t="s">
        <v>344</v>
      </c>
      <c r="B121" s="46" t="n">
        <f aca="false">B76/B72</f>
        <v>23.9454961133973</v>
      </c>
    </row>
    <row r="122" customFormat="false" ht="15" hidden="false" customHeight="false" outlineLevel="0" collapsed="false">
      <c r="A122" s="63" t="s">
        <v>345</v>
      </c>
      <c r="B122" s="68" t="n">
        <f aca="false">B121/B120-1</f>
        <v>-0.057882120128629</v>
      </c>
    </row>
    <row r="124" customFormat="false" ht="15" hidden="false" customHeight="false" outlineLevel="0" collapsed="false">
      <c r="A124" s="7" t="s">
        <v>346</v>
      </c>
      <c r="B124" s="4"/>
      <c r="C124" s="4"/>
      <c r="D124" s="4"/>
      <c r="E124" s="4"/>
      <c r="F124" s="4"/>
    </row>
    <row r="125" customFormat="false" ht="27.75" hidden="false" customHeight="true" outlineLevel="0" collapsed="false">
      <c r="A125" s="13" t="s">
        <v>13</v>
      </c>
      <c r="B125" s="14" t="s">
        <v>221</v>
      </c>
      <c r="C125" s="14" t="s">
        <v>222</v>
      </c>
      <c r="D125" s="14" t="s">
        <v>223</v>
      </c>
      <c r="E125" s="14"/>
      <c r="F125" s="14" t="s">
        <v>117</v>
      </c>
    </row>
    <row r="126" customFormat="false" ht="15" hidden="false" customHeight="false" outlineLevel="0" collapsed="false">
      <c r="A126" s="15" t="s">
        <v>347</v>
      </c>
      <c r="B126" s="25" t="n">
        <f aca="false">B94+B97+B98</f>
        <v>175.64125</v>
      </c>
      <c r="C126" s="25" t="n">
        <f aca="false">C94+C97+C98</f>
        <v>238.2002</v>
      </c>
      <c r="D126" s="25" t="n">
        <f aca="false">D94+D97+D98</f>
        <v>254.385282</v>
      </c>
    </row>
    <row r="127" customFormat="false" ht="15" hidden="false" customHeight="false" outlineLevel="0" collapsed="false">
      <c r="A127" s="27" t="s">
        <v>348</v>
      </c>
      <c r="B127" s="28" t="n">
        <f aca="false">B126*(1-'Cover &amp; Assumptions'!$B$20)</f>
        <v>129.974525</v>
      </c>
      <c r="C127" s="28" t="n">
        <f aca="false">C126*(1-'Cover &amp; Assumptions'!$B$20)</f>
        <v>176.268148</v>
      </c>
      <c r="D127" s="28" t="n">
        <f aca="false">D126*(1-'Cover &amp; Assumptions'!$B$20)</f>
        <v>188.24510868</v>
      </c>
    </row>
    <row r="128" customFormat="false" ht="15" hidden="false" customHeight="false" outlineLevel="0" collapsed="false">
      <c r="A128" s="15" t="s">
        <v>349</v>
      </c>
      <c r="B128" s="23" t="n">
        <f aca="false">$B$11+'Cover &amp; Assumptions'!$B$89*(1-'Cover &amp; Assumptions'!$B$20)</f>
        <v>1120.3</v>
      </c>
    </row>
    <row r="129" customFormat="false" ht="15" hidden="false" customHeight="false" outlineLevel="0" collapsed="false">
      <c r="A129" s="27" t="s">
        <v>350</v>
      </c>
      <c r="B129" s="32" t="n">
        <f aca="false">B128+$B$68</f>
        <v>1307.8</v>
      </c>
      <c r="F129" s="17" t="s">
        <v>351</v>
      </c>
    </row>
    <row r="130" customFormat="false" ht="15" hidden="false" customHeight="false" outlineLevel="0" collapsed="false">
      <c r="A130" s="15" t="s">
        <v>352</v>
      </c>
      <c r="B130" s="34"/>
      <c r="C130" s="34"/>
      <c r="D130" s="34" t="n">
        <f aca="false">D127/$B$128</f>
        <v>0.168030981594216</v>
      </c>
    </row>
    <row r="131" customFormat="false" ht="15" hidden="false" customHeight="false" outlineLevel="0" collapsed="false">
      <c r="A131" s="27" t="s">
        <v>353</v>
      </c>
      <c r="B131" s="33"/>
      <c r="C131" s="33"/>
      <c r="D131" s="33" t="n">
        <f aca="false">D127/$B$129</f>
        <v>0.143940288025692</v>
      </c>
    </row>
    <row r="132" customFormat="false" ht="15" hidden="false" customHeight="false" outlineLevel="0" collapsed="false">
      <c r="A132" s="9" t="s">
        <v>354</v>
      </c>
      <c r="B132" s="65" t="n">
        <f aca="false">-B129</f>
        <v>-1307.8</v>
      </c>
      <c r="C132" s="65" t="n">
        <f aca="false">B127</f>
        <v>129.974525</v>
      </c>
      <c r="D132" s="65" t="n">
        <f aca="false">C127</f>
        <v>176.268148</v>
      </c>
      <c r="E132" s="65" t="n">
        <f aca="false">D127*(1+'Cover &amp; Assumptions'!$B$26)</f>
        <v>2447.18641284</v>
      </c>
      <c r="F132" s="17" t="s">
        <v>355</v>
      </c>
    </row>
    <row r="133" customFormat="false" ht="15" hidden="false" customHeight="false" outlineLevel="0" collapsed="false">
      <c r="A133" s="27" t="s">
        <v>356</v>
      </c>
      <c r="B133" s="69" t="n">
        <f aca="false">IRR(B132:E132)</f>
        <v>0.303709225686493</v>
      </c>
    </row>
  </sheetData>
  <mergeCells count="1">
    <mergeCell ref="A5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7"/>
    <col collapsed="false" customWidth="true" hidden="false" outlineLevel="0" max="4" min="4" style="0" width="13"/>
    <col collapsed="false" customWidth="true" hidden="false" outlineLevel="0" max="5" min="5" style="0" width="56"/>
  </cols>
  <sheetData>
    <row r="1" customFormat="false" ht="24" hidden="false" customHeight="true" outlineLevel="0" collapsed="false">
      <c r="A1" s="1" t="s">
        <v>364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365</v>
      </c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5" t="s">
        <v>366</v>
      </c>
    </row>
    <row r="5" customFormat="false" ht="15" hidden="false" customHeight="true" outlineLevel="0" collapsed="false">
      <c r="A5" s="6" t="s">
        <v>3</v>
      </c>
      <c r="B5" s="6"/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A6" s="6"/>
      <c r="B6" s="6"/>
      <c r="C6" s="6"/>
      <c r="D6" s="6"/>
      <c r="E6" s="6"/>
      <c r="F6" s="6"/>
      <c r="G6" s="6"/>
      <c r="H6" s="6"/>
    </row>
    <row r="9" customFormat="false" ht="15" hidden="false" customHeight="false" outlineLevel="0" collapsed="false">
      <c r="A9" s="7" t="s">
        <v>367</v>
      </c>
      <c r="B9" s="4"/>
      <c r="C9" s="4"/>
      <c r="D9" s="4"/>
      <c r="E9" s="4"/>
    </row>
    <row r="10" customFormat="false" ht="27.75" hidden="false" customHeight="true" outlineLevel="0" collapsed="false">
      <c r="A10" s="13" t="s">
        <v>198</v>
      </c>
      <c r="B10" s="14" t="s">
        <v>368</v>
      </c>
      <c r="C10" s="14" t="s">
        <v>369</v>
      </c>
      <c r="D10" s="14" t="s">
        <v>370</v>
      </c>
      <c r="E10" s="14" t="s">
        <v>371</v>
      </c>
    </row>
    <row r="11" customFormat="false" ht="15" hidden="false" customHeight="false" outlineLevel="0" collapsed="false">
      <c r="A11" s="15" t="s">
        <v>372</v>
      </c>
      <c r="B11" s="26" t="n">
        <f aca="false">'Deal B Pro Forma'!$B$11</f>
        <v>1650</v>
      </c>
      <c r="C11" s="26" t="n">
        <f aca="false">'Deal C Pro Forma'!$B$11</f>
        <v>1050</v>
      </c>
    </row>
    <row r="12" customFormat="false" ht="15" hidden="false" customHeight="false" outlineLevel="0" collapsed="false">
      <c r="A12" s="15" t="s">
        <v>249</v>
      </c>
      <c r="B12" s="70" t="n">
        <f aca="false">'Deal B Pro Forma'!$B$17</f>
        <v>1.83333333333333</v>
      </c>
      <c r="C12" s="70" t="n">
        <f aca="false">'Deal C Pro Forma'!$B$17</f>
        <v>1.3125</v>
      </c>
      <c r="E12" s="17" t="s">
        <v>373</v>
      </c>
    </row>
    <row r="13" customFormat="false" ht="15" hidden="false" customHeight="false" outlineLevel="0" collapsed="false">
      <c r="A13" s="15" t="s">
        <v>250</v>
      </c>
      <c r="B13" s="70" t="n">
        <f aca="false">'Deal B Pro Forma'!$B$18</f>
        <v>4.73403339645378</v>
      </c>
      <c r="C13" s="70" t="n">
        <f aca="false">'Deal C Pro Forma'!$B$18</f>
        <v>14.1891891891892</v>
      </c>
      <c r="E13" s="17" t="s">
        <v>374</v>
      </c>
    </row>
    <row r="14" customFormat="false" ht="15" hidden="false" customHeight="false" outlineLevel="0" collapsed="false">
      <c r="A14" s="15" t="s">
        <v>251</v>
      </c>
      <c r="B14" s="71" t="n">
        <f aca="false">'Deal B Pro Forma'!$B$19</f>
        <v>0.25</v>
      </c>
      <c r="C14" s="71" t="n">
        <f aca="false">'Deal C Pro Forma'!$B$19</f>
        <v>0.193181818181818</v>
      </c>
    </row>
    <row r="15" customFormat="false" ht="15" hidden="false" customHeight="false" outlineLevel="0" collapsed="false">
      <c r="A15" s="15" t="s">
        <v>375</v>
      </c>
      <c r="B15" s="26" t="n">
        <f aca="false">'Deal B Pro Forma'!$B$26</f>
        <v>1155</v>
      </c>
      <c r="C15" s="26" t="n">
        <f aca="false">'Deal C Pro Forma'!$B$26</f>
        <v>525</v>
      </c>
    </row>
    <row r="16" customFormat="false" ht="15" hidden="false" customHeight="false" outlineLevel="0" collapsed="false">
      <c r="A16" s="15" t="s">
        <v>60</v>
      </c>
      <c r="B16" s="26" t="n">
        <f aca="false">'Deal B Pro Forma'!$B$27</f>
        <v>495</v>
      </c>
      <c r="C16" s="26" t="n">
        <f aca="false">'Deal C Pro Forma'!$B$27</f>
        <v>525</v>
      </c>
    </row>
    <row r="17" customFormat="false" ht="15" hidden="false" customHeight="false" outlineLevel="0" collapsed="false">
      <c r="A17" s="15" t="s">
        <v>82</v>
      </c>
      <c r="B17" s="26" t="n">
        <f aca="false">'Cover &amp; Assumptions'!$B$64</f>
        <v>115</v>
      </c>
      <c r="C17" s="26" t="n">
        <f aca="false">'Cover &amp; Assumptions'!$B$90</f>
        <v>12</v>
      </c>
    </row>
    <row r="18" customFormat="false" ht="15" hidden="false" customHeight="false" outlineLevel="0" collapsed="false">
      <c r="A18" s="27" t="s">
        <v>376</v>
      </c>
      <c r="B18" s="72" t="n">
        <f aca="false">'Deal B Pro Forma'!$B$15</f>
        <v>865</v>
      </c>
      <c r="C18" s="72" t="n">
        <f aca="false">'Deal C Pro Forma'!$B$15</f>
        <v>262</v>
      </c>
      <c r="D18" s="73" t="s">
        <v>377</v>
      </c>
      <c r="E18" s="17" t="s">
        <v>378</v>
      </c>
    </row>
    <row r="19" customFormat="false" ht="15" hidden="false" customHeight="false" outlineLevel="0" collapsed="false">
      <c r="A19" s="15" t="s">
        <v>379</v>
      </c>
      <c r="B19" s="26" t="n">
        <f aca="false">'Deal B Pro Forma'!$B$31</f>
        <v>180</v>
      </c>
      <c r="C19" s="26" t="n">
        <f aca="false">'Deal C Pro Forma'!$B$31</f>
        <v>95</v>
      </c>
    </row>
    <row r="20" customFormat="false" ht="15" hidden="false" customHeight="false" outlineLevel="0" collapsed="false">
      <c r="A20" s="15" t="s">
        <v>380</v>
      </c>
      <c r="B20" s="71" t="n">
        <f aca="false">'Deal B Pro Forma'!$B$22</f>
        <v>0.172386363636364</v>
      </c>
      <c r="C20" s="71" t="n">
        <f aca="false">'Deal C Pro Forma'!$B$22</f>
        <v>0.0345861904761905</v>
      </c>
      <c r="D20" s="74" t="s">
        <v>381</v>
      </c>
      <c r="E20" s="17" t="s">
        <v>382</v>
      </c>
    </row>
    <row r="22" customFormat="false" ht="15" hidden="false" customHeight="false" outlineLevel="0" collapsed="false">
      <c r="A22" s="7" t="s">
        <v>383</v>
      </c>
      <c r="B22" s="4"/>
      <c r="C22" s="4"/>
      <c r="D22" s="4"/>
      <c r="E22" s="4"/>
    </row>
    <row r="23" customFormat="false" ht="27.75" hidden="false" customHeight="true" outlineLevel="0" collapsed="false">
      <c r="A23" s="13" t="s">
        <v>198</v>
      </c>
      <c r="B23" s="14" t="s">
        <v>381</v>
      </c>
      <c r="C23" s="14" t="s">
        <v>377</v>
      </c>
      <c r="D23" s="14" t="s">
        <v>370</v>
      </c>
      <c r="E23" s="14" t="s">
        <v>371</v>
      </c>
    </row>
    <row r="24" customFormat="false" ht="15" hidden="false" customHeight="false" outlineLevel="0" collapsed="false">
      <c r="A24" s="15" t="s">
        <v>384</v>
      </c>
      <c r="B24" s="26" t="n">
        <f aca="false">'Standalone Summary'!$C$18</f>
        <v>10400</v>
      </c>
      <c r="C24" s="26" t="n">
        <f aca="false">'Standalone Summary'!$D$18</f>
        <v>9800</v>
      </c>
    </row>
    <row r="25" customFormat="false" ht="15" hidden="false" customHeight="false" outlineLevel="0" collapsed="false">
      <c r="A25" s="15" t="s">
        <v>385</v>
      </c>
      <c r="B25" s="26" t="n">
        <f aca="false">'Standalone Summary'!$C$56</f>
        <v>7550</v>
      </c>
      <c r="C25" s="26" t="n">
        <f aca="false">'Standalone Summary'!$D$56</f>
        <v>355</v>
      </c>
      <c r="D25" s="74" t="s">
        <v>381</v>
      </c>
      <c r="E25" s="17" t="s">
        <v>386</v>
      </c>
    </row>
    <row r="26" customFormat="false" ht="15" hidden="false" customHeight="false" outlineLevel="0" collapsed="false">
      <c r="A26" s="27" t="s">
        <v>387</v>
      </c>
      <c r="B26" s="32" t="n">
        <f aca="false">'Standalone Summary'!$B$56+'Standalone Summary'!$C$56</f>
        <v>8740</v>
      </c>
      <c r="C26" s="32" t="n">
        <f aca="false">'Standalone Summary'!$B$56+'Standalone Summary'!$D$56</f>
        <v>1545</v>
      </c>
      <c r="D26" s="74" t="s">
        <v>381</v>
      </c>
    </row>
    <row r="27" customFormat="false" ht="15" hidden="false" customHeight="false" outlineLevel="0" collapsed="false">
      <c r="A27" s="27" t="s">
        <v>388</v>
      </c>
      <c r="B27" s="75" t="n">
        <f aca="false">B26/'Standalone Summary'!$B$56</f>
        <v>7.34453781512605</v>
      </c>
      <c r="C27" s="75" t="n">
        <f aca="false">C26/'Standalone Summary'!$B$56</f>
        <v>1.29831932773109</v>
      </c>
      <c r="D27" s="74" t="s">
        <v>381</v>
      </c>
      <c r="E27" s="17" t="s">
        <v>389</v>
      </c>
    </row>
    <row r="28" customFormat="false" ht="15" hidden="false" customHeight="false" outlineLevel="0" collapsed="false">
      <c r="A28" s="15" t="s">
        <v>390</v>
      </c>
      <c r="B28" s="76" t="n">
        <f aca="false">'Standalone Summary'!$C$55</f>
        <v>2850</v>
      </c>
      <c r="C28" s="76" t="n">
        <f aca="false">'Standalone Summary'!$D$55</f>
        <v>145</v>
      </c>
      <c r="D28" s="74" t="s">
        <v>381</v>
      </c>
    </row>
    <row r="29" customFormat="false" ht="15" hidden="false" customHeight="false" outlineLevel="0" collapsed="false">
      <c r="A29" s="15" t="s">
        <v>391</v>
      </c>
      <c r="B29" s="26" t="n">
        <f aca="false">'Standalone Summary'!$C$65</f>
        <v>15300</v>
      </c>
      <c r="C29" s="26" t="n">
        <f aca="false">'Standalone Summary'!$D$65</f>
        <v>1350</v>
      </c>
      <c r="D29" s="74" t="s">
        <v>381</v>
      </c>
    </row>
    <row r="30" customFormat="false" ht="15" hidden="false" customHeight="false" outlineLevel="0" collapsed="false">
      <c r="A30" s="15" t="s">
        <v>392</v>
      </c>
      <c r="B30" s="54" t="n">
        <f aca="false">'Standalone Summary'!$C$66</f>
        <v>0.2299</v>
      </c>
      <c r="C30" s="54" t="n">
        <f aca="false">'Standalone Summary'!$D$66</f>
        <v>0.1999</v>
      </c>
      <c r="D30" s="74" t="s">
        <v>381</v>
      </c>
    </row>
    <row r="31" customFormat="false" ht="15" hidden="false" customHeight="false" outlineLevel="0" collapsed="false">
      <c r="A31" s="15" t="s">
        <v>393</v>
      </c>
      <c r="B31" s="71" t="n">
        <f aca="false">'Standalone Summary'!$C$61</f>
        <v>0.71</v>
      </c>
      <c r="C31" s="71" t="n">
        <f aca="false">'Standalone Summary'!$D$61</f>
        <v>0.35</v>
      </c>
      <c r="E31" s="17" t="s">
        <v>394</v>
      </c>
    </row>
    <row r="32" customFormat="false" ht="15" hidden="false" customHeight="false" outlineLevel="0" collapsed="false">
      <c r="A32" s="15" t="s">
        <v>395</v>
      </c>
      <c r="B32" s="26" t="n">
        <f aca="false">'Standalone Summary'!$C$64</f>
        <v>12350</v>
      </c>
      <c r="C32" s="26" t="n">
        <f aca="false">'Standalone Summary'!$D$64</f>
        <v>1425</v>
      </c>
      <c r="D32" s="73" t="s">
        <v>377</v>
      </c>
      <c r="E32" s="17" t="s">
        <v>396</v>
      </c>
    </row>
    <row r="33" customFormat="false" ht="15" hidden="false" customHeight="false" outlineLevel="0" collapsed="false">
      <c r="A33" s="15" t="s">
        <v>397</v>
      </c>
      <c r="B33" s="26" t="n">
        <f aca="false">'Standalone Summary'!$C$20</f>
        <v>6100</v>
      </c>
      <c r="C33" s="26" t="n">
        <f aca="false">'Standalone Summary'!$D$20</f>
        <v>8200</v>
      </c>
      <c r="D33" s="73" t="s">
        <v>377</v>
      </c>
      <c r="E33" s="17" t="s">
        <v>398</v>
      </c>
    </row>
    <row r="35" customFormat="false" ht="15" hidden="false" customHeight="false" outlineLevel="0" collapsed="false">
      <c r="A35" s="7" t="s">
        <v>399</v>
      </c>
      <c r="B35" s="4"/>
      <c r="C35" s="4"/>
      <c r="D35" s="4"/>
      <c r="E35" s="4"/>
    </row>
    <row r="36" customFormat="false" ht="27.75" hidden="false" customHeight="true" outlineLevel="0" collapsed="false">
      <c r="A36" s="13" t="s">
        <v>198</v>
      </c>
      <c r="B36" s="14" t="s">
        <v>381</v>
      </c>
      <c r="C36" s="14" t="s">
        <v>377</v>
      </c>
      <c r="D36" s="14" t="s">
        <v>370</v>
      </c>
      <c r="E36" s="14" t="s">
        <v>371</v>
      </c>
    </row>
    <row r="37" customFormat="false" ht="15" hidden="false" customHeight="false" outlineLevel="0" collapsed="false">
      <c r="A37" s="15" t="s">
        <v>400</v>
      </c>
      <c r="B37" s="26" t="n">
        <f aca="false">'Deal B Pro Forma'!$B$60</f>
        <v>29450</v>
      </c>
      <c r="C37" s="26" t="n">
        <f aca="false">'Deal C Pro Forma'!$B$60</f>
        <v>27050</v>
      </c>
    </row>
    <row r="38" customFormat="false" ht="15" hidden="false" customHeight="false" outlineLevel="0" collapsed="false">
      <c r="A38" s="27" t="s">
        <v>287</v>
      </c>
      <c r="B38" s="77" t="n">
        <f aca="false">'Deal B Pro Forma'!$B$61</f>
        <v>0.0741935483870968</v>
      </c>
      <c r="C38" s="77" t="n">
        <f aca="false">'Deal C Pro Forma'!$B$61</f>
        <v>0.103068391866913</v>
      </c>
      <c r="D38" s="73" t="s">
        <v>377</v>
      </c>
      <c r="E38" s="17" t="s">
        <v>401</v>
      </c>
    </row>
    <row r="39" customFormat="false" ht="15" hidden="false" customHeight="false" outlineLevel="0" collapsed="false">
      <c r="A39" s="15" t="s">
        <v>402</v>
      </c>
      <c r="B39" s="76" t="n">
        <f aca="false">'Deal B Pro Forma'!$B$63</f>
        <v>-607.622038252926</v>
      </c>
      <c r="C39" s="76" t="n">
        <f aca="false">'Deal C Pro Forma'!$B$63</f>
        <v>-318.873603454763</v>
      </c>
      <c r="D39" s="73" t="s">
        <v>377</v>
      </c>
    </row>
    <row r="40" customFormat="false" ht="15" hidden="false" customHeight="false" outlineLevel="0" collapsed="false">
      <c r="A40" s="15" t="s">
        <v>403</v>
      </c>
      <c r="B40" s="76" t="n">
        <f aca="false">'Deal B Pro Forma'!$B$78</f>
        <v>41.9354838709676</v>
      </c>
      <c r="C40" s="76" t="n">
        <f aca="false">'Deal C Pro Forma'!$B$78</f>
        <v>330.683918669131</v>
      </c>
      <c r="D40" s="73" t="s">
        <v>377</v>
      </c>
    </row>
    <row r="41" customFormat="false" ht="15" hidden="false" customHeight="false" outlineLevel="0" collapsed="false">
      <c r="A41" s="27" t="s">
        <v>404</v>
      </c>
      <c r="B41" s="72" t="n">
        <f aca="false">'Deal B Pro Forma'!$B$68</f>
        <v>1054.5</v>
      </c>
      <c r="C41" s="72" t="n">
        <f aca="false">'Deal C Pro Forma'!$B$68</f>
        <v>187.5</v>
      </c>
      <c r="D41" s="73" t="s">
        <v>377</v>
      </c>
      <c r="E41" s="17" t="s">
        <v>405</v>
      </c>
    </row>
    <row r="42" customFormat="false" ht="15" hidden="false" customHeight="false" outlineLevel="0" collapsed="false">
      <c r="A42" s="15" t="s">
        <v>300</v>
      </c>
      <c r="B42" s="71" t="n">
        <f aca="false">'Deal B Pro Forma'!$B$74</f>
        <v>0.199715909090909</v>
      </c>
      <c r="C42" s="71" t="n">
        <f aca="false">'Deal C Pro Forma'!$B$74</f>
        <v>0.0355113636363636</v>
      </c>
      <c r="D42" s="73" t="s">
        <v>377</v>
      </c>
      <c r="E42" s="17" t="s">
        <v>406</v>
      </c>
    </row>
    <row r="43" customFormat="false" ht="15" hidden="false" customHeight="false" outlineLevel="0" collapsed="false">
      <c r="A43" s="15" t="s">
        <v>296</v>
      </c>
      <c r="B43" s="57" t="n">
        <f aca="false">'Deal B Pro Forma'!$B$70</f>
        <v>23.9659090909091</v>
      </c>
      <c r="C43" s="57" t="n">
        <f aca="false">'Deal C Pro Forma'!$B$70</f>
        <v>4.26136363636364</v>
      </c>
      <c r="D43" s="73" t="s">
        <v>377</v>
      </c>
    </row>
    <row r="44" customFormat="false" ht="15" hidden="false" customHeight="false" outlineLevel="0" collapsed="false">
      <c r="A44" s="15" t="s">
        <v>299</v>
      </c>
      <c r="B44" s="71" t="n">
        <f aca="false">'Deal B Pro Forma'!$B$73</f>
        <v>0.166469334596259</v>
      </c>
      <c r="C44" s="71" t="n">
        <f aca="false">'Deal C Pro Forma'!$B$73</f>
        <v>0.0342935528120713</v>
      </c>
      <c r="D44" s="73" t="s">
        <v>377</v>
      </c>
    </row>
    <row r="45" customFormat="false" ht="15" hidden="false" customHeight="false" outlineLevel="0" collapsed="false">
      <c r="A45" s="27" t="s">
        <v>407</v>
      </c>
      <c r="B45" s="78" t="n">
        <f aca="false">'Deal B Pro Forma'!$B$77</f>
        <v>0.11</v>
      </c>
      <c r="C45" s="78" t="n">
        <f aca="false">'Deal C Pro Forma'!$B$77</f>
        <v>0.11</v>
      </c>
    </row>
    <row r="46" customFormat="false" ht="15" hidden="false" customHeight="false" outlineLevel="0" collapsed="false">
      <c r="A46" s="15" t="s">
        <v>305</v>
      </c>
      <c r="B46" s="54" t="n">
        <f aca="false">'Deal B Pro Forma'!$B$79</f>
        <v>0.103565365025467</v>
      </c>
      <c r="C46" s="54" t="n">
        <f aca="false">'Deal C Pro Forma'!$B$79</f>
        <v>0.11275415896488</v>
      </c>
      <c r="E46" s="17" t="s">
        <v>408</v>
      </c>
    </row>
    <row r="47" customFormat="false" ht="15" hidden="false" customHeight="false" outlineLevel="0" collapsed="false">
      <c r="A47" s="15" t="s">
        <v>409</v>
      </c>
      <c r="B47" s="26" t="n">
        <f aca="false">'Deal B Pro Forma'!$B$80</f>
        <v>189.5</v>
      </c>
      <c r="C47" s="26" t="n">
        <f aca="false">'Deal C Pro Forma'!$B$80</f>
        <v>0</v>
      </c>
      <c r="E47" s="17" t="s">
        <v>410</v>
      </c>
    </row>
    <row r="48" customFormat="false" ht="15" hidden="false" customHeight="false" outlineLevel="0" collapsed="false">
      <c r="A48" s="15" t="s">
        <v>411</v>
      </c>
      <c r="B48" s="71" t="n">
        <f aca="false">'Deal B Pro Forma'!$B$81</f>
        <v>0.639090909090909</v>
      </c>
      <c r="C48" s="71" t="n">
        <f aca="false">'Deal C Pro Forma'!$B$81</f>
        <v>0.178571428571429</v>
      </c>
      <c r="E48" s="17" t="s">
        <v>412</v>
      </c>
    </row>
    <row r="49" customFormat="false" ht="15" hidden="false" customHeight="false" outlineLevel="0" collapsed="false">
      <c r="A49" s="15" t="s">
        <v>345</v>
      </c>
      <c r="B49" s="71" t="n">
        <f aca="false">'Deal B Pro Forma'!$B$122</f>
        <v>-0.114681117844125</v>
      </c>
      <c r="C49" s="71" t="n">
        <f aca="false">'Deal C Pro Forma'!$B$122</f>
        <v>-0.057882120128629</v>
      </c>
      <c r="D49" s="73" t="s">
        <v>377</v>
      </c>
    </row>
    <row r="51" customFormat="false" ht="15" hidden="false" customHeight="false" outlineLevel="0" collapsed="false">
      <c r="A51" s="7" t="s">
        <v>413</v>
      </c>
      <c r="B51" s="4"/>
      <c r="C51" s="4"/>
      <c r="D51" s="4"/>
      <c r="E51" s="4"/>
    </row>
    <row r="52" customFormat="false" ht="27.75" hidden="false" customHeight="true" outlineLevel="0" collapsed="false">
      <c r="A52" s="13" t="s">
        <v>198</v>
      </c>
      <c r="B52" s="14" t="s">
        <v>381</v>
      </c>
      <c r="C52" s="14" t="s">
        <v>377</v>
      </c>
      <c r="D52" s="14" t="s">
        <v>370</v>
      </c>
      <c r="E52" s="14" t="s">
        <v>371</v>
      </c>
    </row>
    <row r="53" customFormat="false" ht="15" hidden="false" customHeight="false" outlineLevel="0" collapsed="false">
      <c r="A53" s="15" t="s">
        <v>63</v>
      </c>
      <c r="B53" s="24" t="n">
        <f aca="false">'Cover &amp; Assumptions'!$B$49</f>
        <v>192</v>
      </c>
      <c r="C53" s="24" t="n">
        <f aca="false">'Cover &amp; Assumptions'!$B$75</f>
        <v>87.75</v>
      </c>
    </row>
    <row r="54" customFormat="false" ht="15" hidden="false" customHeight="false" outlineLevel="0" collapsed="false">
      <c r="A54" s="15" t="s">
        <v>414</v>
      </c>
      <c r="B54" s="24" t="n">
        <f aca="false">'Cover &amp; Assumptions'!$B$59</f>
        <v>45.5</v>
      </c>
      <c r="C54" s="24" t="n">
        <f aca="false">'Cover &amp; Assumptions'!$B$85</f>
        <v>57.8125</v>
      </c>
    </row>
    <row r="55" customFormat="false" ht="15" hidden="false" customHeight="false" outlineLevel="0" collapsed="false">
      <c r="A55" s="15" t="s">
        <v>415</v>
      </c>
      <c r="B55" s="24" t="n">
        <f aca="false">'Deal B Pro Forma'!$B$105</f>
        <v>733.02735</v>
      </c>
      <c r="C55" s="24" t="n">
        <f aca="false">'Deal C Pro Forma'!$B$105</f>
        <v>470.257975</v>
      </c>
    </row>
    <row r="56" customFormat="false" ht="15" hidden="false" customHeight="false" outlineLevel="0" collapsed="false">
      <c r="A56" s="15" t="s">
        <v>416</v>
      </c>
      <c r="B56" s="24" t="n">
        <f aca="false">'Deal B Pro Forma'!$D$105</f>
        <v>1108.177132655</v>
      </c>
      <c r="C56" s="24" t="n">
        <f aca="false">'Deal C Pro Forma'!$D$105</f>
        <v>650.680566435</v>
      </c>
    </row>
    <row r="57" customFormat="false" ht="15" hidden="false" customHeight="false" outlineLevel="0" collapsed="false">
      <c r="A57" s="15" t="s">
        <v>417</v>
      </c>
      <c r="B57" s="55" t="n">
        <f aca="false">'Deal B Pro Forma'!$B$110</f>
        <v>5.09167312337201</v>
      </c>
      <c r="C57" s="55" t="n">
        <f aca="false">'Deal C Pro Forma'!$B$110</f>
        <v>3.78442631915867</v>
      </c>
    </row>
    <row r="58" customFormat="false" ht="15" hidden="false" customHeight="false" outlineLevel="0" collapsed="false">
      <c r="A58" s="15" t="s">
        <v>418</v>
      </c>
      <c r="B58" s="55" t="n">
        <f aca="false">'Deal B Pro Forma'!$D$110</f>
        <v>7.69749685639277</v>
      </c>
      <c r="C58" s="55" t="n">
        <f aca="false">'Deal C Pro Forma'!$D$110</f>
        <v>5.23638681721811</v>
      </c>
    </row>
    <row r="59" customFormat="false" ht="15" hidden="false" customHeight="false" outlineLevel="0" collapsed="false">
      <c r="A59" s="15" t="s">
        <v>419</v>
      </c>
      <c r="B59" s="71" t="n">
        <f aca="false">'Deal B Pro Forma'!$B$113</f>
        <v>0.398432875546593</v>
      </c>
      <c r="C59" s="71" t="n">
        <f aca="false">'Deal C Pro Forma'!$B$113</f>
        <v>0.039396295002222</v>
      </c>
      <c r="D59" s="74" t="s">
        <v>381</v>
      </c>
    </row>
    <row r="60" customFormat="false" ht="15" hidden="false" customHeight="false" outlineLevel="0" collapsed="false">
      <c r="A60" s="15" t="s">
        <v>420</v>
      </c>
      <c r="B60" s="71" t="n">
        <f aca="false">'Deal B Pro Forma'!$C$113</f>
        <v>0.817297499292105</v>
      </c>
      <c r="C60" s="71" t="n">
        <f aca="false">'Deal C Pro Forma'!$C$113</f>
        <v>0.278985835540146</v>
      </c>
      <c r="D60" s="74" t="s">
        <v>381</v>
      </c>
    </row>
    <row r="61" customFormat="false" ht="15" hidden="false" customHeight="false" outlineLevel="0" collapsed="false">
      <c r="A61" s="27" t="s">
        <v>421</v>
      </c>
      <c r="B61" s="79" t="n">
        <f aca="false">'Deal B Pro Forma'!$D$113</f>
        <v>0.889844364716568</v>
      </c>
      <c r="C61" s="79" t="n">
        <f aca="false">'Deal C Pro Forma'!$D$113</f>
        <v>0.285607035977828</v>
      </c>
      <c r="D61" s="74" t="s">
        <v>381</v>
      </c>
    </row>
    <row r="62" customFormat="false" ht="15" hidden="false" customHeight="false" outlineLevel="0" collapsed="false">
      <c r="A62" s="15" t="s">
        <v>352</v>
      </c>
      <c r="B62" s="71" t="n">
        <f aca="false">'Deal B Pro Forma'!$D$130</f>
        <v>0.365555055462091</v>
      </c>
      <c r="C62" s="71" t="n">
        <f aca="false">'Deal C Pro Forma'!$D$130</f>
        <v>0.168030981594216</v>
      </c>
      <c r="D62" s="74" t="s">
        <v>381</v>
      </c>
    </row>
    <row r="63" customFormat="false" ht="15" hidden="false" customHeight="false" outlineLevel="0" collapsed="false">
      <c r="A63" s="27" t="s">
        <v>422</v>
      </c>
      <c r="B63" s="80" t="n">
        <f aca="false">'Deal B Pro Forma'!$D$131</f>
        <v>0.229713421045213</v>
      </c>
      <c r="C63" s="80" t="n">
        <f aca="false">'Deal C Pro Forma'!$D$131</f>
        <v>0.143940288025692</v>
      </c>
      <c r="D63" s="74" t="s">
        <v>381</v>
      </c>
      <c r="E63" s="17" t="s">
        <v>423</v>
      </c>
    </row>
    <row r="64" customFormat="false" ht="15" hidden="false" customHeight="false" outlineLevel="0" collapsed="false">
      <c r="A64" s="15" t="s">
        <v>424</v>
      </c>
      <c r="B64" s="71" t="n">
        <f aca="false">'Deal B Pro Forma'!$B$133</f>
        <v>0.545217676225246</v>
      </c>
      <c r="C64" s="71" t="n">
        <f aca="false">'Deal C Pro Forma'!$B$133</f>
        <v>0.303709225686493</v>
      </c>
      <c r="D64" s="74" t="s">
        <v>381</v>
      </c>
    </row>
    <row r="66" customFormat="false" ht="15" hidden="false" customHeight="false" outlineLevel="0" collapsed="false">
      <c r="A66" s="7" t="s">
        <v>425</v>
      </c>
      <c r="B66" s="4"/>
      <c r="C66" s="4"/>
      <c r="D66" s="4"/>
      <c r="E66" s="4"/>
    </row>
    <row r="67" customFormat="false" ht="27.75" hidden="false" customHeight="true" outlineLevel="0" collapsed="false">
      <c r="A67" s="13" t="s">
        <v>198</v>
      </c>
      <c r="B67" s="14" t="s">
        <v>381</v>
      </c>
      <c r="C67" s="14" t="s">
        <v>377</v>
      </c>
      <c r="D67" s="14" t="s">
        <v>370</v>
      </c>
      <c r="E67" s="14" t="s">
        <v>371</v>
      </c>
    </row>
    <row r="68" customFormat="false" ht="15" hidden="false" customHeight="false" outlineLevel="0" collapsed="false">
      <c r="A68" s="15" t="s">
        <v>426</v>
      </c>
      <c r="B68" s="54" t="n">
        <f aca="false">'Standalone Summary'!$C$69</f>
        <v>0.046</v>
      </c>
      <c r="C68" s="54" t="n">
        <f aca="false">'Standalone Summary'!$D$69</f>
        <v>0.012</v>
      </c>
      <c r="D68" s="73" t="s">
        <v>377</v>
      </c>
    </row>
    <row r="69" customFormat="false" ht="15" hidden="false" customHeight="false" outlineLevel="0" collapsed="false">
      <c r="A69" s="15" t="s">
        <v>427</v>
      </c>
      <c r="B69" s="54" t="n">
        <f aca="false">'Standalone Summary'!$B$103</f>
        <v>0.03</v>
      </c>
      <c r="C69" s="54" t="n">
        <f aca="false">'Standalone Summary'!$B$108</f>
        <v>0.012</v>
      </c>
    </row>
    <row r="70" customFormat="false" ht="15" hidden="false" customHeight="false" outlineLevel="0" collapsed="false">
      <c r="A70" s="15" t="s">
        <v>428</v>
      </c>
      <c r="B70" s="54" t="n">
        <f aca="false">'Standalone Summary'!$C$68</f>
        <v>0.024</v>
      </c>
      <c r="C70" s="54" t="n">
        <f aca="false">'Standalone Summary'!$D$68</f>
        <v>0.005</v>
      </c>
      <c r="D70" s="73" t="s">
        <v>377</v>
      </c>
    </row>
    <row r="71" customFormat="false" ht="15" hidden="false" customHeight="false" outlineLevel="0" collapsed="false">
      <c r="A71" s="15" t="s">
        <v>429</v>
      </c>
      <c r="B71" s="54" t="n">
        <f aca="false">'Standalone Summary'!$B$102</f>
        <v>0.015</v>
      </c>
      <c r="C71" s="54" t="n">
        <f aca="false">'Standalone Summary'!$B$107</f>
        <v>0.005</v>
      </c>
    </row>
    <row r="72" customFormat="false" ht="15" hidden="false" customHeight="false" outlineLevel="0" collapsed="false">
      <c r="A72" s="27" t="s">
        <v>430</v>
      </c>
      <c r="B72" s="81" t="n">
        <f aca="false">('Standalone Summary'!$C$68-'Standalone Summary'!$B$102)*10000</f>
        <v>90</v>
      </c>
      <c r="C72" s="81" t="n">
        <f aca="false">('Standalone Summary'!$D$68-'Standalone Summary'!$B$107)*10000</f>
        <v>0</v>
      </c>
      <c r="D72" s="73" t="s">
        <v>377</v>
      </c>
      <c r="E72" s="17" t="s">
        <v>431</v>
      </c>
    </row>
    <row r="73" customFormat="false" ht="15" hidden="false" customHeight="false" outlineLevel="0" collapsed="false">
      <c r="A73" s="15" t="s">
        <v>432</v>
      </c>
      <c r="B73" s="76" t="n">
        <f aca="false">('Standalone Summary'!$C$69-'Standalone Summary'!$B$103)*10000</f>
        <v>160</v>
      </c>
      <c r="C73" s="76" t="n">
        <f aca="false">('Standalone Summary'!$D$69-'Standalone Summary'!$B$108)*10000</f>
        <v>0</v>
      </c>
      <c r="D73" s="73" t="s">
        <v>377</v>
      </c>
    </row>
    <row r="74" customFormat="false" ht="15" hidden="false" customHeight="false" outlineLevel="0" collapsed="false">
      <c r="A74" s="15" t="s">
        <v>433</v>
      </c>
      <c r="B74" s="76" t="n">
        <f aca="false">('Standalone Summary'!$C$48-'Standalone Summary'!$B$104)*10000</f>
        <v>-196.715328467153</v>
      </c>
      <c r="C74" s="76" t="n">
        <f aca="false">('Standalone Summary'!$D$48-'Standalone Summary'!$B$109)*10000</f>
        <v>57.8651685393258</v>
      </c>
      <c r="D74" s="73" t="s">
        <v>377</v>
      </c>
      <c r="E74" s="17" t="s">
        <v>434</v>
      </c>
    </row>
    <row r="75" customFormat="false" ht="15" hidden="false" customHeight="false" outlineLevel="0" collapsed="false">
      <c r="A75" s="15" t="s">
        <v>179</v>
      </c>
      <c r="B75" s="54" t="n">
        <f aca="false">'Standalone Summary'!$C$73</f>
        <v>0.054</v>
      </c>
      <c r="C75" s="54" t="n">
        <f aca="false">'Standalone Summary'!$D$73</f>
        <v>0.014</v>
      </c>
      <c r="D75" s="73" t="s">
        <v>377</v>
      </c>
    </row>
    <row r="76" customFormat="false" ht="15" hidden="false" customHeight="false" outlineLevel="0" collapsed="false">
      <c r="A76" s="15" t="s">
        <v>435</v>
      </c>
      <c r="B76" s="71" t="n">
        <f aca="false">'Standalone Summary'!$C$74</f>
        <v>0.86</v>
      </c>
      <c r="C76" s="71" t="n">
        <f aca="false">'Standalone Summary'!$D$74</f>
        <v>0.78</v>
      </c>
      <c r="D76" s="73" t="s">
        <v>377</v>
      </c>
    </row>
    <row r="77" customFormat="false" ht="15" hidden="false" customHeight="false" outlineLevel="0" collapsed="false">
      <c r="A77" s="15" t="s">
        <v>436</v>
      </c>
      <c r="B77" s="54" t="n">
        <f aca="false">'Standalone Summary'!$C$73*'Standalone Summary'!$C$74</f>
        <v>0.04644</v>
      </c>
      <c r="C77" s="54" t="n">
        <f aca="false">'Standalone Summary'!$D$73*'Standalone Summary'!$D$74</f>
        <v>0.01092</v>
      </c>
      <c r="D77" s="73" t="s">
        <v>377</v>
      </c>
    </row>
    <row r="78" customFormat="false" ht="15" hidden="false" customHeight="false" outlineLevel="0" collapsed="false">
      <c r="A78" s="15" t="s">
        <v>178</v>
      </c>
      <c r="B78" s="71" t="n">
        <f aca="false">'Standalone Summary'!$C$72</f>
        <v>0.065</v>
      </c>
      <c r="C78" s="71" t="n">
        <f aca="false">'Standalone Summary'!$D$72</f>
        <v>0.01</v>
      </c>
      <c r="D78" s="73" t="s">
        <v>377</v>
      </c>
    </row>
    <row r="79" customFormat="false" ht="15" hidden="false" customHeight="false" outlineLevel="0" collapsed="false">
      <c r="A79" s="15" t="s">
        <v>177</v>
      </c>
      <c r="B79" s="71" t="n">
        <f aca="false">'Standalone Summary'!$C$71</f>
        <v>0.125</v>
      </c>
      <c r="C79" s="71" t="n">
        <f aca="false">'Standalone Summary'!$D$71</f>
        <v>0.04</v>
      </c>
      <c r="D79" s="73" t="s">
        <v>377</v>
      </c>
      <c r="E79" s="17" t="s">
        <v>437</v>
      </c>
    </row>
    <row r="80" customFormat="false" ht="15" hidden="false" customHeight="false" outlineLevel="0" collapsed="false">
      <c r="A80" s="15" t="s">
        <v>438</v>
      </c>
      <c r="B80" s="71" t="n">
        <f aca="false">'Standalone Summary'!$C$59</f>
        <v>0.0463576158940397</v>
      </c>
      <c r="C80" s="71" t="n">
        <f aca="false">'Standalone Summary'!$D$59</f>
        <v>0.0422535211267606</v>
      </c>
    </row>
    <row r="81" customFormat="false" ht="15" hidden="false" customHeight="false" outlineLevel="0" collapsed="false">
      <c r="A81" s="15" t="s">
        <v>439</v>
      </c>
      <c r="B81" s="71" t="n">
        <f aca="false">'Cover &amp; Assumptions'!$B$63/'Cover &amp; Assumptions'!$B$42</f>
        <v>0.109090909090909</v>
      </c>
      <c r="C81" s="71" t="n">
        <f aca="false">'Cover &amp; Assumptions'!$B$89/'Cover &amp; Assumptions'!$B$68</f>
        <v>0.0904761904761905</v>
      </c>
      <c r="D81" s="73" t="s">
        <v>377</v>
      </c>
    </row>
    <row r="82" customFormat="false" ht="25.5" hidden="false" customHeight="true" outlineLevel="0" collapsed="false">
      <c r="A82" s="27" t="s">
        <v>440</v>
      </c>
      <c r="B82" s="82" t="s">
        <v>441</v>
      </c>
      <c r="C82" s="83" t="s">
        <v>442</v>
      </c>
      <c r="D82" s="73" t="s">
        <v>377</v>
      </c>
      <c r="E82" s="17" t="s">
        <v>443</v>
      </c>
    </row>
  </sheetData>
  <mergeCells count="1">
    <mergeCell ref="A5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4" min="3" style="0" width="11"/>
    <col collapsed="false" customWidth="true" hidden="false" outlineLevel="0" max="6" min="5" style="0" width="12"/>
    <col collapsed="false" customWidth="true" hidden="false" outlineLevel="0" max="7" min="7" style="0" width="66"/>
  </cols>
  <sheetData>
    <row r="1" customFormat="false" ht="24" hidden="false" customHeight="true" outlineLevel="0" collapsed="false">
      <c r="A1" s="1" t="s">
        <v>444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445</v>
      </c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5" t="s">
        <v>446</v>
      </c>
    </row>
    <row r="5" customFormat="false" ht="15" hidden="false" customHeight="true" outlineLevel="0" collapsed="false">
      <c r="A5" s="6" t="s">
        <v>3</v>
      </c>
      <c r="B5" s="6"/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A6" s="6"/>
      <c r="B6" s="6"/>
      <c r="C6" s="6"/>
      <c r="D6" s="6"/>
      <c r="E6" s="6"/>
      <c r="F6" s="6"/>
      <c r="G6" s="6"/>
      <c r="H6" s="6"/>
    </row>
    <row r="9" customFormat="false" ht="15" hidden="false" customHeight="false" outlineLevel="0" collapsed="false">
      <c r="A9" s="7" t="s">
        <v>447</v>
      </c>
      <c r="B9" s="4"/>
      <c r="C9" s="4"/>
      <c r="D9" s="4"/>
      <c r="E9" s="4"/>
      <c r="F9" s="4"/>
      <c r="G9" s="4"/>
    </row>
    <row r="10" customFormat="false" ht="27.75" hidden="false" customHeight="true" outlineLevel="0" collapsed="false">
      <c r="A10" s="13" t="s">
        <v>448</v>
      </c>
      <c r="B10" s="14" t="s">
        <v>381</v>
      </c>
      <c r="C10" s="14" t="s">
        <v>377</v>
      </c>
      <c r="D10" s="14"/>
      <c r="E10" s="14"/>
      <c r="F10" s="14"/>
      <c r="G10" s="14" t="s">
        <v>449</v>
      </c>
    </row>
    <row r="11" customFormat="false" ht="15" hidden="false" customHeight="false" outlineLevel="0" collapsed="false">
      <c r="A11" s="15" t="s">
        <v>450</v>
      </c>
      <c r="B11" s="70" t="n">
        <f aca="false">'Side-by-Side'!$B$27</f>
        <v>7.34453781512605</v>
      </c>
      <c r="C11" s="70" t="n">
        <f aca="false">'Side-by-Side'!$C$27</f>
        <v>1.29831932773109</v>
      </c>
      <c r="G11" s="17" t="s">
        <v>451</v>
      </c>
    </row>
    <row r="12" customFormat="false" ht="15" hidden="false" customHeight="false" outlineLevel="0" collapsed="false">
      <c r="A12" s="15" t="s">
        <v>452</v>
      </c>
      <c r="B12" s="76" t="n">
        <f aca="false">'Standalone Summary'!$C$55</f>
        <v>2850</v>
      </c>
      <c r="C12" s="76" t="n">
        <f aca="false">'Standalone Summary'!$D$55</f>
        <v>145</v>
      </c>
      <c r="G12" s="17" t="s">
        <v>453</v>
      </c>
    </row>
    <row r="13" customFormat="false" ht="15" hidden="false" customHeight="false" outlineLevel="0" collapsed="false">
      <c r="A13" s="15" t="s">
        <v>454</v>
      </c>
      <c r="B13" s="71" t="n">
        <f aca="false">'Deal B Pro Forma'!$D$113</f>
        <v>0.889844364716568</v>
      </c>
      <c r="C13" s="71" t="n">
        <f aca="false">'Deal C Pro Forma'!$D$113</f>
        <v>0.285607035977828</v>
      </c>
      <c r="G13" s="17" t="s">
        <v>455</v>
      </c>
    </row>
    <row r="14" customFormat="false" ht="15" hidden="false" customHeight="false" outlineLevel="0" collapsed="false">
      <c r="A14" s="15" t="s">
        <v>353</v>
      </c>
      <c r="B14" s="71" t="n">
        <f aca="false">'Deal B Pro Forma'!$D$131</f>
        <v>0.229713421045213</v>
      </c>
      <c r="C14" s="71" t="n">
        <f aca="false">'Deal C Pro Forma'!$D$131</f>
        <v>0.143940288025692</v>
      </c>
      <c r="G14" s="17" t="s">
        <v>455</v>
      </c>
    </row>
    <row r="15" customFormat="false" ht="15" hidden="false" customHeight="false" outlineLevel="0" collapsed="false">
      <c r="A15" s="15" t="s">
        <v>456</v>
      </c>
      <c r="B15" s="54" t="n">
        <f aca="false">'Deal B Pro Forma'!$B$61</f>
        <v>0.0741935483870968</v>
      </c>
      <c r="C15" s="54" t="n">
        <f aca="false">'Deal C Pro Forma'!$B$61</f>
        <v>0.103068391866913</v>
      </c>
      <c r="G15" s="17" t="s">
        <v>455</v>
      </c>
    </row>
    <row r="16" customFormat="false" ht="15" hidden="false" customHeight="false" outlineLevel="0" collapsed="false">
      <c r="A16" s="15" t="s">
        <v>457</v>
      </c>
      <c r="B16" s="26" t="n">
        <f aca="false">'Deal B Pro Forma'!$B$68</f>
        <v>1054.5</v>
      </c>
      <c r="C16" s="26" t="n">
        <f aca="false">'Deal C Pro Forma'!$B$68</f>
        <v>187.5</v>
      </c>
      <c r="G16" s="17" t="s">
        <v>455</v>
      </c>
    </row>
    <row r="17" customFormat="false" ht="15" hidden="false" customHeight="false" outlineLevel="0" collapsed="false">
      <c r="A17" s="15" t="s">
        <v>458</v>
      </c>
      <c r="B17" s="71" t="n">
        <f aca="false">'Deal B Pro Forma'!$B$74</f>
        <v>0.199715909090909</v>
      </c>
      <c r="C17" s="71" t="n">
        <f aca="false">'Deal C Pro Forma'!$B$74</f>
        <v>0.0355113636363636</v>
      </c>
      <c r="G17" s="17" t="s">
        <v>455</v>
      </c>
    </row>
    <row r="18" customFormat="false" ht="15" hidden="false" customHeight="false" outlineLevel="0" collapsed="false">
      <c r="A18" s="15" t="s">
        <v>459</v>
      </c>
      <c r="B18" s="54" t="n">
        <f aca="false">'Standalone Summary'!$C$69</f>
        <v>0.046</v>
      </c>
      <c r="C18" s="54" t="n">
        <f aca="false">'Standalone Summary'!$D$69</f>
        <v>0.012</v>
      </c>
      <c r="G18" s="17" t="s">
        <v>453</v>
      </c>
    </row>
    <row r="19" customFormat="false" ht="15" hidden="false" customHeight="false" outlineLevel="0" collapsed="false">
      <c r="A19" s="15" t="s">
        <v>460</v>
      </c>
      <c r="B19" s="84" t="n">
        <f aca="false">('Standalone Summary'!$C$68-'Standalone Summary'!$B$102)*10000</f>
        <v>90</v>
      </c>
      <c r="C19" s="84" t="n">
        <f aca="false">('Standalone Summary'!$D$68-'Standalone Summary'!$B$107)*10000</f>
        <v>0</v>
      </c>
      <c r="G19" s="17" t="s">
        <v>461</v>
      </c>
    </row>
    <row r="20" customFormat="false" ht="15" hidden="false" customHeight="false" outlineLevel="0" collapsed="false">
      <c r="A20" s="15" t="s">
        <v>462</v>
      </c>
      <c r="B20" s="37" t="n">
        <f aca="false">'Standalone Summary'!$C$73*'Standalone Summary'!$C$74</f>
        <v>0.04644</v>
      </c>
      <c r="C20" s="37" t="n">
        <f aca="false">'Standalone Summary'!$D$73*'Standalone Summary'!$D$74</f>
        <v>0.01092</v>
      </c>
      <c r="G20" s="17" t="s">
        <v>453</v>
      </c>
    </row>
    <row r="21" customFormat="false" ht="15" hidden="false" customHeight="false" outlineLevel="0" collapsed="false">
      <c r="A21" s="15" t="s">
        <v>439</v>
      </c>
      <c r="B21" s="34" t="n">
        <f aca="false">'Cover &amp; Assumptions'!$B$63/'Cover &amp; Assumptions'!$B$42</f>
        <v>0.109090909090909</v>
      </c>
      <c r="C21" s="34" t="n">
        <f aca="false">'Cover &amp; Assumptions'!$B$89/'Cover &amp; Assumptions'!$B$68</f>
        <v>0.0904761904761905</v>
      </c>
      <c r="G21" s="17" t="s">
        <v>463</v>
      </c>
    </row>
    <row r="23" customFormat="false" ht="15" hidden="false" customHeight="false" outlineLevel="0" collapsed="false">
      <c r="A23" s="7" t="s">
        <v>464</v>
      </c>
      <c r="B23" s="4"/>
      <c r="C23" s="4"/>
      <c r="D23" s="4"/>
      <c r="E23" s="4"/>
      <c r="F23" s="4"/>
      <c r="G23" s="4"/>
    </row>
    <row r="24" customFormat="false" ht="27.75" hidden="false" customHeight="true" outlineLevel="0" collapsed="false">
      <c r="A24" s="13" t="s">
        <v>465</v>
      </c>
      <c r="B24" s="14" t="s">
        <v>466</v>
      </c>
      <c r="C24" s="14" t="s">
        <v>467</v>
      </c>
      <c r="D24" s="14" t="s">
        <v>468</v>
      </c>
      <c r="E24" s="14" t="s">
        <v>469</v>
      </c>
      <c r="F24" s="14" t="s">
        <v>470</v>
      </c>
      <c r="G24" s="14" t="s">
        <v>471</v>
      </c>
    </row>
    <row r="25" customFormat="false" ht="57.75" hidden="false" customHeight="true" outlineLevel="0" collapsed="false">
      <c r="A25" s="85" t="s">
        <v>472</v>
      </c>
      <c r="B25" s="16" t="n">
        <v>0.2</v>
      </c>
      <c r="C25" s="35" t="n">
        <v>5</v>
      </c>
      <c r="D25" s="35" t="n">
        <v>2</v>
      </c>
      <c r="E25" s="56" t="n">
        <f aca="false">$B$25*C25</f>
        <v>1</v>
      </c>
      <c r="F25" s="56" t="n">
        <f aca="false">$B$25*D25</f>
        <v>0.4</v>
      </c>
      <c r="G25" s="86" t="s">
        <v>473</v>
      </c>
    </row>
    <row r="26" customFormat="false" ht="57.75" hidden="false" customHeight="true" outlineLevel="0" collapsed="false">
      <c r="A26" s="85" t="s">
        <v>474</v>
      </c>
      <c r="B26" s="16" t="n">
        <v>0.2</v>
      </c>
      <c r="C26" s="35" t="n">
        <v>5</v>
      </c>
      <c r="D26" s="35" t="n">
        <v>4</v>
      </c>
      <c r="E26" s="56" t="n">
        <f aca="false">$B$26*C26</f>
        <v>1</v>
      </c>
      <c r="F26" s="56" t="n">
        <f aca="false">$B$26*D26</f>
        <v>0.8</v>
      </c>
      <c r="G26" s="86" t="s">
        <v>475</v>
      </c>
    </row>
    <row r="27" customFormat="false" ht="57.75" hidden="false" customHeight="true" outlineLevel="0" collapsed="false">
      <c r="A27" s="85" t="s">
        <v>476</v>
      </c>
      <c r="B27" s="16" t="n">
        <v>0.2</v>
      </c>
      <c r="C27" s="35" t="n">
        <v>3</v>
      </c>
      <c r="D27" s="35" t="n">
        <v>4</v>
      </c>
      <c r="E27" s="56" t="n">
        <f aca="false">$B$27*C27</f>
        <v>0.6</v>
      </c>
      <c r="F27" s="56" t="n">
        <f aca="false">$B$27*D27</f>
        <v>0.8</v>
      </c>
      <c r="G27" s="86" t="s">
        <v>477</v>
      </c>
    </row>
    <row r="28" customFormat="false" ht="57.75" hidden="false" customHeight="true" outlineLevel="0" collapsed="false">
      <c r="A28" s="85" t="s">
        <v>478</v>
      </c>
      <c r="B28" s="16" t="n">
        <v>0.15</v>
      </c>
      <c r="C28" s="35" t="n">
        <v>1</v>
      </c>
      <c r="D28" s="35" t="n">
        <v>4</v>
      </c>
      <c r="E28" s="56" t="n">
        <f aca="false">$B$28*C28</f>
        <v>0.15</v>
      </c>
      <c r="F28" s="56" t="n">
        <f aca="false">$B$28*D28</f>
        <v>0.6</v>
      </c>
      <c r="G28" s="86" t="s">
        <v>479</v>
      </c>
    </row>
    <row r="29" customFormat="false" ht="57.75" hidden="false" customHeight="true" outlineLevel="0" collapsed="false">
      <c r="A29" s="85" t="s">
        <v>480</v>
      </c>
      <c r="B29" s="16" t="n">
        <v>0.15</v>
      </c>
      <c r="C29" s="35" t="n">
        <v>1</v>
      </c>
      <c r="D29" s="35" t="n">
        <v>5</v>
      </c>
      <c r="E29" s="56" t="n">
        <f aca="false">$B$29*C29</f>
        <v>0.15</v>
      </c>
      <c r="F29" s="56" t="n">
        <f aca="false">$B$29*D29</f>
        <v>0.75</v>
      </c>
      <c r="G29" s="86" t="s">
        <v>481</v>
      </c>
    </row>
    <row r="30" customFormat="false" ht="57.75" hidden="false" customHeight="true" outlineLevel="0" collapsed="false">
      <c r="A30" s="85" t="s">
        <v>482</v>
      </c>
      <c r="B30" s="16" t="n">
        <v>0.1</v>
      </c>
      <c r="C30" s="35" t="n">
        <v>1</v>
      </c>
      <c r="D30" s="35" t="n">
        <v>5</v>
      </c>
      <c r="E30" s="56" t="n">
        <f aca="false">$B$30*C30</f>
        <v>0.1</v>
      </c>
      <c r="F30" s="56" t="n">
        <f aca="false">$B$30*D30</f>
        <v>0.5</v>
      </c>
      <c r="G30" s="86" t="s">
        <v>483</v>
      </c>
    </row>
    <row r="31" customFormat="false" ht="15" hidden="false" customHeight="false" outlineLevel="0" collapsed="false">
      <c r="A31" s="27" t="s">
        <v>484</v>
      </c>
      <c r="B31" s="69" t="n">
        <f aca="false">SUM(B25:B30)</f>
        <v>1</v>
      </c>
      <c r="E31" s="87" t="n">
        <f aca="false">SUM(E25:E30)</f>
        <v>3</v>
      </c>
      <c r="F31" s="87" t="n">
        <f aca="false">SUM(F25:F30)</f>
        <v>3.85</v>
      </c>
    </row>
    <row r="32" customFormat="false" ht="15" hidden="false" customHeight="false" outlineLevel="0" collapsed="false">
      <c r="A32" s="12" t="s">
        <v>485</v>
      </c>
      <c r="E32" s="88" t="n">
        <f aca="false">SUMPRODUCT($B$25:$B$30,C25:C30)</f>
        <v>3</v>
      </c>
      <c r="F32" s="88" t="n">
        <f aca="false">SUMPRODUCT($B$25:$B$30,D25:D30)</f>
        <v>3.85</v>
      </c>
    </row>
    <row r="33" customFormat="false" ht="21.75" hidden="false" customHeight="true" outlineLevel="0" collapsed="false">
      <c r="A33" s="15" t="s">
        <v>486</v>
      </c>
      <c r="E33" s="89" t="str">
        <f aca="false">IF(E31&gt;F31,"DEAL B — NORTHFIELD",IF(F31&gt;E31,"DEAL C — HARBORVIEW","TIE"))</f>
        <v>DEAL C — HARBORVIEW</v>
      </c>
      <c r="F33" s="89"/>
    </row>
    <row r="34" customFormat="false" ht="15" hidden="false" customHeight="false" outlineLevel="0" collapsed="false">
      <c r="A34" s="15" t="s">
        <v>487</v>
      </c>
      <c r="E34" s="90" t="n">
        <f aca="false">ABS(E31-F31)</f>
        <v>0.85</v>
      </c>
    </row>
    <row r="36" customFormat="false" ht="15" hidden="false" customHeight="false" outlineLevel="0" collapsed="false">
      <c r="A36" s="7" t="s">
        <v>488</v>
      </c>
      <c r="B36" s="4"/>
      <c r="C36" s="4"/>
      <c r="D36" s="4"/>
      <c r="E36" s="4"/>
      <c r="F36" s="4"/>
      <c r="G36" s="4"/>
    </row>
    <row r="37" customFormat="false" ht="27.75" hidden="false" customHeight="true" outlineLevel="0" collapsed="false">
      <c r="A37" s="13" t="s">
        <v>489</v>
      </c>
      <c r="B37" s="14" t="s">
        <v>381</v>
      </c>
      <c r="C37" s="14" t="s">
        <v>377</v>
      </c>
      <c r="D37" s="14" t="s">
        <v>490</v>
      </c>
      <c r="E37" s="14"/>
      <c r="F37" s="14"/>
      <c r="G37" s="14" t="s">
        <v>371</v>
      </c>
    </row>
    <row r="38" customFormat="false" ht="15" hidden="false" customHeight="false" outlineLevel="0" collapsed="false">
      <c r="A38" s="15" t="s">
        <v>491</v>
      </c>
      <c r="C38" s="56" t="n">
        <f aca="false">E25+E26</f>
        <v>2</v>
      </c>
      <c r="D38" s="56" t="n">
        <f aca="false">F25+F26</f>
        <v>1.2</v>
      </c>
      <c r="E38" s="91" t="str">
        <f aca="false">IF(C38&gt;D38,"Deal B wins","Deal C wins")</f>
        <v>Deal B wins</v>
      </c>
    </row>
    <row r="39" customFormat="false" ht="15" hidden="false" customHeight="false" outlineLevel="0" collapsed="false">
      <c r="A39" s="15" t="s">
        <v>492</v>
      </c>
      <c r="C39" s="56" t="n">
        <f aca="false">E27+E28+E29+E30</f>
        <v>1</v>
      </c>
      <c r="D39" s="56" t="n">
        <f aca="false">F27+F28+F29+F30</f>
        <v>2.65</v>
      </c>
      <c r="E39" s="91" t="str">
        <f aca="false">IF(C39&gt;D39,"Deal B wins","Deal C wins")</f>
        <v>Deal C wins</v>
      </c>
    </row>
    <row r="40" customFormat="false" ht="15" hidden="false" customHeight="false" outlineLevel="0" collapsed="false">
      <c r="A40" s="15" t="s">
        <v>493</v>
      </c>
      <c r="C40" s="56" t="n">
        <f aca="false">C28+(F31-E31)/$B$28</f>
        <v>6.66666666666667</v>
      </c>
      <c r="G40" s="92" t="s">
        <v>494</v>
      </c>
    </row>
    <row r="41" customFormat="false" ht="15" hidden="false" customHeight="false" outlineLevel="0" collapsed="false">
      <c r="A41" s="15" t="s">
        <v>495</v>
      </c>
      <c r="C41" s="56" t="n">
        <f aca="false">C29+(F31-E31)/$B$29</f>
        <v>6.66666666666667</v>
      </c>
      <c r="G41" s="92" t="s">
        <v>494</v>
      </c>
    </row>
    <row r="42" customFormat="false" ht="15" hidden="false" customHeight="false" outlineLevel="0" collapsed="false">
      <c r="A42" s="17" t="s">
        <v>496</v>
      </c>
    </row>
  </sheetData>
  <mergeCells count="2">
    <mergeCell ref="A5:H6"/>
    <mergeCell ref="E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5"/>
    <col collapsed="false" customWidth="true" hidden="false" outlineLevel="0" max="4" min="4" style="0" width="12"/>
    <col collapsed="false" customWidth="true" hidden="false" outlineLevel="0" max="5" min="5" style="0" width="56"/>
  </cols>
  <sheetData>
    <row r="1" customFormat="false" ht="24" hidden="false" customHeight="true" outlineLevel="0" collapsed="false">
      <c r="A1" s="1" t="s">
        <v>497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498</v>
      </c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5" t="s">
        <v>499</v>
      </c>
    </row>
    <row r="5" customFormat="false" ht="15" hidden="false" customHeight="true" outlineLevel="0" collapsed="false">
      <c r="A5" s="6" t="s">
        <v>3</v>
      </c>
      <c r="B5" s="6"/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A6" s="6"/>
      <c r="B6" s="6"/>
      <c r="C6" s="6"/>
      <c r="D6" s="6"/>
      <c r="E6" s="6"/>
      <c r="F6" s="6"/>
      <c r="G6" s="6"/>
      <c r="H6" s="6"/>
    </row>
    <row r="9" customFormat="false" ht="15" hidden="false" customHeight="false" outlineLevel="0" collapsed="false">
      <c r="A9" s="7" t="s">
        <v>500</v>
      </c>
      <c r="B9" s="4"/>
      <c r="C9" s="4"/>
      <c r="D9" s="4"/>
      <c r="E9" s="4"/>
    </row>
    <row r="10" customFormat="false" ht="27.75" hidden="false" customHeight="true" outlineLevel="0" collapsed="false">
      <c r="A10" s="13" t="s">
        <v>99</v>
      </c>
      <c r="B10" s="14" t="s">
        <v>14</v>
      </c>
      <c r="C10" s="14"/>
      <c r="D10" s="14"/>
      <c r="E10" s="14" t="s">
        <v>501</v>
      </c>
    </row>
    <row r="11" customFormat="false" ht="15" hidden="false" customHeight="false" outlineLevel="0" collapsed="false">
      <c r="A11" s="15" t="s">
        <v>502</v>
      </c>
      <c r="B11" s="54" t="n">
        <f aca="false">'Cover &amp; Assumptions'!$B$94</f>
        <v>0.02</v>
      </c>
      <c r="E11" s="17" t="s">
        <v>503</v>
      </c>
    </row>
    <row r="12" customFormat="false" ht="15" hidden="false" customHeight="false" outlineLevel="0" collapsed="false">
      <c r="A12" s="15" t="s">
        <v>504</v>
      </c>
      <c r="B12" s="54" t="n">
        <f aca="false">'Cover &amp; Assumptions'!$B$95</f>
        <v>0.015</v>
      </c>
      <c r="E12" s="17" t="s">
        <v>503</v>
      </c>
    </row>
    <row r="13" customFormat="false" ht="15" hidden="false" customHeight="false" outlineLevel="0" collapsed="false">
      <c r="A13" s="15" t="s">
        <v>104</v>
      </c>
      <c r="B13" s="54" t="n">
        <f aca="false">'Cover &amp; Assumptions'!$B$96</f>
        <v>0.005</v>
      </c>
      <c r="E13" s="17" t="s">
        <v>505</v>
      </c>
    </row>
    <row r="14" customFormat="false" ht="15" hidden="false" customHeight="false" outlineLevel="0" collapsed="false">
      <c r="A14" s="15" t="s">
        <v>106</v>
      </c>
      <c r="B14" s="71" t="n">
        <f aca="false">'Cover &amp; Assumptions'!$B$97</f>
        <v>0.05</v>
      </c>
      <c r="E14" s="17" t="s">
        <v>506</v>
      </c>
    </row>
    <row r="15" customFormat="false" ht="15" hidden="false" customHeight="false" outlineLevel="0" collapsed="false">
      <c r="A15" s="17" t="s">
        <v>507</v>
      </c>
    </row>
    <row r="17" customFormat="false" ht="15" hidden="false" customHeight="false" outlineLevel="0" collapsed="false">
      <c r="A17" s="7" t="s">
        <v>508</v>
      </c>
      <c r="B17" s="4"/>
      <c r="C17" s="4"/>
      <c r="D17" s="4"/>
      <c r="E17" s="4"/>
    </row>
    <row r="18" customFormat="false" ht="27.75" hidden="false" customHeight="true" outlineLevel="0" collapsed="false">
      <c r="A18" s="13" t="s">
        <v>509</v>
      </c>
      <c r="B18" s="14" t="s">
        <v>381</v>
      </c>
      <c r="C18" s="14" t="s">
        <v>377</v>
      </c>
      <c r="D18" s="14"/>
      <c r="E18" s="14" t="s">
        <v>510</v>
      </c>
    </row>
    <row r="19" customFormat="false" ht="15" hidden="false" customHeight="false" outlineLevel="0" collapsed="false">
      <c r="A19" s="15" t="s">
        <v>511</v>
      </c>
      <c r="B19" s="24" t="n">
        <f aca="false">'Standalone Summary'!$C$137</f>
        <v>8305</v>
      </c>
      <c r="C19" s="24" t="n">
        <f aca="false">'Standalone Summary'!$C$150</f>
        <v>369.2</v>
      </c>
    </row>
    <row r="20" customFormat="false" ht="15" hidden="false" customHeight="false" outlineLevel="0" collapsed="false">
      <c r="A20" s="15" t="s">
        <v>512</v>
      </c>
      <c r="B20" s="71" t="n">
        <f aca="false">'Standalone Summary'!$C$74</f>
        <v>0.86</v>
      </c>
      <c r="C20" s="71" t="n">
        <f aca="false">'Standalone Summary'!$D$74</f>
        <v>0.78</v>
      </c>
    </row>
    <row r="21" customFormat="false" ht="15" hidden="false" customHeight="false" outlineLevel="0" collapsed="false">
      <c r="A21" s="15" t="s">
        <v>513</v>
      </c>
      <c r="B21" s="25" t="n">
        <f aca="false">B19*'Cover &amp; Assumptions'!$B$94</f>
        <v>166.1</v>
      </c>
      <c r="C21" s="25" t="n">
        <f aca="false">C19*'Cover &amp; Assumptions'!$B$94</f>
        <v>7.384</v>
      </c>
      <c r="E21" s="17" t="s">
        <v>514</v>
      </c>
    </row>
    <row r="22" customFormat="false" ht="15" hidden="false" customHeight="false" outlineLevel="0" collapsed="false">
      <c r="A22" s="15" t="s">
        <v>515</v>
      </c>
      <c r="B22" s="25" t="n">
        <f aca="false">B19*'Cover &amp; Assumptions'!$B$95*B20</f>
        <v>107.1345</v>
      </c>
      <c r="C22" s="25" t="n">
        <f aca="false">C19*'Cover &amp; Assumptions'!$B$95*C20</f>
        <v>4.31964</v>
      </c>
      <c r="E22" s="17" t="s">
        <v>516</v>
      </c>
    </row>
    <row r="23" customFormat="false" ht="15" hidden="false" customHeight="false" outlineLevel="0" collapsed="false">
      <c r="A23" s="15" t="s">
        <v>517</v>
      </c>
      <c r="B23" s="24" t="n">
        <f aca="false">'Standalone Summary'!$C$124</f>
        <v>1261.4</v>
      </c>
      <c r="C23" s="24" t="n">
        <f aca="false">'Standalone Summary'!$C$124</f>
        <v>1261.4</v>
      </c>
    </row>
    <row r="24" customFormat="false" ht="15" hidden="false" customHeight="false" outlineLevel="0" collapsed="false">
      <c r="A24" s="15" t="s">
        <v>518</v>
      </c>
      <c r="B24" s="25" t="n">
        <f aca="false">B23*'Cover &amp; Assumptions'!$B$96</f>
        <v>6.307</v>
      </c>
      <c r="C24" s="25" t="n">
        <f aca="false">C23*'Cover &amp; Assumptions'!$B$96</f>
        <v>6.307</v>
      </c>
      <c r="E24" s="17" t="s">
        <v>519</v>
      </c>
    </row>
    <row r="25" customFormat="false" ht="15" hidden="false" customHeight="false" outlineLevel="0" collapsed="false">
      <c r="A25" s="27" t="s">
        <v>520</v>
      </c>
      <c r="B25" s="93" t="n">
        <f aca="false">B21+B22+B24</f>
        <v>279.5415</v>
      </c>
      <c r="C25" s="93" t="n">
        <f aca="false">C21+C22+C24</f>
        <v>18.01064</v>
      </c>
    </row>
    <row r="26" customFormat="false" ht="15" hidden="false" customHeight="false" outlineLevel="0" collapsed="false">
      <c r="A26" s="27" t="s">
        <v>521</v>
      </c>
      <c r="B26" s="28" t="n">
        <f aca="false">B25*(1-'Cover &amp; Assumptions'!$B$20)</f>
        <v>206.86071</v>
      </c>
      <c r="C26" s="28" t="n">
        <f aca="false">C25*(1-'Cover &amp; Assumptions'!$B$20)</f>
        <v>13.3278736</v>
      </c>
    </row>
    <row r="27" customFormat="false" ht="15" hidden="false" customHeight="false" outlineLevel="0" collapsed="false">
      <c r="A27" s="12" t="s">
        <v>522</v>
      </c>
      <c r="B27" s="94" t="n">
        <f aca="false">B25/('Standalone Summary'!$C$120+'Standalone Summary'!$C$133)</f>
        <v>0.514288473921442</v>
      </c>
      <c r="C27" s="94" t="n">
        <f aca="false">C25/('Standalone Summary'!$C$120+'Standalone Summary'!$C$146)</f>
        <v>0.156125520110957</v>
      </c>
    </row>
    <row r="29" customFormat="false" ht="15" hidden="false" customHeight="false" outlineLevel="0" collapsed="false">
      <c r="A29" s="7" t="s">
        <v>523</v>
      </c>
      <c r="B29" s="4"/>
      <c r="C29" s="4"/>
      <c r="D29" s="4"/>
      <c r="E29" s="4"/>
    </row>
    <row r="30" customFormat="false" ht="27.75" hidden="false" customHeight="true" outlineLevel="0" collapsed="false">
      <c r="A30" s="13" t="s">
        <v>509</v>
      </c>
      <c r="B30" s="14" t="s">
        <v>381</v>
      </c>
      <c r="C30" s="14" t="s">
        <v>377</v>
      </c>
      <c r="D30" s="14"/>
      <c r="E30" s="14" t="s">
        <v>510</v>
      </c>
    </row>
    <row r="31" customFormat="false" ht="15" hidden="false" customHeight="false" outlineLevel="0" collapsed="false">
      <c r="A31" s="15" t="s">
        <v>524</v>
      </c>
      <c r="B31" s="24" t="n">
        <f aca="false">'Standalone Summary'!$C$138</f>
        <v>13585</v>
      </c>
      <c r="C31" s="24" t="n">
        <f aca="false">'Standalone Summary'!$C$151</f>
        <v>1482</v>
      </c>
    </row>
    <row r="32" customFormat="false" ht="15" hidden="false" customHeight="false" outlineLevel="0" collapsed="false">
      <c r="A32" s="15" t="s">
        <v>525</v>
      </c>
      <c r="B32" s="25" t="n">
        <f aca="false">B31*'Cover &amp; Assumptions'!$B$97</f>
        <v>679.25</v>
      </c>
      <c r="C32" s="25" t="n">
        <f aca="false">C31*'Cover &amp; Assumptions'!$B$97</f>
        <v>74.1</v>
      </c>
    </row>
    <row r="33" customFormat="false" ht="15" hidden="false" customHeight="false" outlineLevel="0" collapsed="false">
      <c r="A33" s="27" t="s">
        <v>526</v>
      </c>
      <c r="B33" s="28" t="n">
        <f aca="false">B32*('Cover &amp; Assumptions'!$B$28-'Cover &amp; Assumptions'!$B$27*'Cover &amp; Assumptions'!$B$28)</f>
        <v>458.49375</v>
      </c>
      <c r="C33" s="28" t="n">
        <f aca="false">C32*('Cover &amp; Assumptions'!$B$28-'Cover &amp; Assumptions'!$B$27*'Cover &amp; Assumptions'!$B$28)</f>
        <v>50.0175</v>
      </c>
    </row>
    <row r="34" customFormat="false" ht="15" hidden="false" customHeight="false" outlineLevel="0" collapsed="false">
      <c r="A34" s="17" t="s">
        <v>527</v>
      </c>
    </row>
    <row r="36" customFormat="false" ht="15" hidden="false" customHeight="false" outlineLevel="0" collapsed="false">
      <c r="A36" s="7" t="s">
        <v>528</v>
      </c>
      <c r="B36" s="4"/>
      <c r="C36" s="4"/>
      <c r="D36" s="4"/>
      <c r="E36" s="4"/>
    </row>
    <row r="37" customFormat="false" ht="27.75" hidden="false" customHeight="true" outlineLevel="0" collapsed="false">
      <c r="A37" s="13" t="s">
        <v>13</v>
      </c>
      <c r="B37" s="14" t="s">
        <v>381</v>
      </c>
      <c r="C37" s="14" t="s">
        <v>377</v>
      </c>
      <c r="D37" s="14"/>
      <c r="E37" s="14" t="s">
        <v>117</v>
      </c>
    </row>
    <row r="38" customFormat="false" ht="15" hidden="false" customHeight="false" outlineLevel="0" collapsed="false">
      <c r="A38" s="15" t="s">
        <v>529</v>
      </c>
      <c r="B38" s="24" t="n">
        <f aca="false">'Deal B Pro Forma'!$B$76</f>
        <v>3239.5</v>
      </c>
      <c r="C38" s="24" t="n">
        <f aca="false">'Deal C Pro Forma'!$B$76</f>
        <v>2975.5</v>
      </c>
    </row>
    <row r="39" customFormat="false" ht="15" hidden="false" customHeight="false" outlineLevel="0" collapsed="false">
      <c r="A39" s="15" t="s">
        <v>530</v>
      </c>
      <c r="B39" s="25" t="n">
        <f aca="false">-B26</f>
        <v>-206.86071</v>
      </c>
      <c r="C39" s="25" t="n">
        <f aca="false">-C26</f>
        <v>-13.3278736</v>
      </c>
    </row>
    <row r="40" customFormat="false" ht="15" hidden="false" customHeight="false" outlineLevel="0" collapsed="false">
      <c r="A40" s="27" t="s">
        <v>531</v>
      </c>
      <c r="B40" s="43" t="n">
        <f aca="false">B38+B39</f>
        <v>3032.63929</v>
      </c>
      <c r="C40" s="43" t="n">
        <f aca="false">C38+C39</f>
        <v>2962.1721264</v>
      </c>
    </row>
    <row r="41" customFormat="false" ht="15" hidden="false" customHeight="false" outlineLevel="0" collapsed="false">
      <c r="A41" s="15" t="s">
        <v>532</v>
      </c>
      <c r="B41" s="24" t="n">
        <f aca="false">'Deal B Pro Forma'!$B$60</f>
        <v>29450</v>
      </c>
      <c r="C41" s="24" t="n">
        <f aca="false">'Deal C Pro Forma'!$B$60</f>
        <v>27050</v>
      </c>
    </row>
    <row r="42" customFormat="false" ht="15" hidden="false" customHeight="false" outlineLevel="0" collapsed="false">
      <c r="A42" s="15" t="s">
        <v>533</v>
      </c>
      <c r="B42" s="25" t="n">
        <f aca="false">B33</f>
        <v>458.49375</v>
      </c>
      <c r="C42" s="25" t="n">
        <f aca="false">C33</f>
        <v>50.0175</v>
      </c>
    </row>
    <row r="43" customFormat="false" ht="15" hidden="false" customHeight="false" outlineLevel="0" collapsed="false">
      <c r="A43" s="27" t="s">
        <v>534</v>
      </c>
      <c r="B43" s="43" t="n">
        <f aca="false">B41+B42</f>
        <v>29908.49375</v>
      </c>
      <c r="C43" s="43" t="n">
        <f aca="false">C41+C42</f>
        <v>27100.0175</v>
      </c>
    </row>
    <row r="44" customFormat="false" ht="15" hidden="false" customHeight="false" outlineLevel="0" collapsed="false">
      <c r="A44" s="15" t="s">
        <v>535</v>
      </c>
      <c r="B44" s="54" t="n">
        <f aca="false">'Deal B Pro Forma'!$B$77</f>
        <v>0.11</v>
      </c>
      <c r="C44" s="54" t="n">
        <f aca="false">'Deal C Pro Forma'!$B$77</f>
        <v>0.11</v>
      </c>
    </row>
    <row r="45" customFormat="false" ht="15" hidden="false" customHeight="false" outlineLevel="0" collapsed="false">
      <c r="A45" s="27" t="s">
        <v>536</v>
      </c>
      <c r="B45" s="59" t="n">
        <f aca="false">B40/B43</f>
        <v>0.101397259098011</v>
      </c>
      <c r="C45" s="59" t="n">
        <f aca="false">C40/C43</f>
        <v>0.109305173932083</v>
      </c>
    </row>
    <row r="46" customFormat="false" ht="15" hidden="false" customHeight="false" outlineLevel="0" collapsed="false">
      <c r="A46" s="15" t="s">
        <v>537</v>
      </c>
      <c r="B46" s="25" t="n">
        <f aca="false">'Deal B Pro Forma'!$B$57-B26</f>
        <v>1978.13929</v>
      </c>
      <c r="C46" s="25" t="n">
        <f aca="false">'Deal C Pro Forma'!$B$57-C26</f>
        <v>2774.6721264</v>
      </c>
    </row>
    <row r="47" customFormat="false" ht="15" hidden="false" customHeight="false" outlineLevel="0" collapsed="false">
      <c r="A47" s="27" t="s">
        <v>538</v>
      </c>
      <c r="B47" s="95" t="n">
        <f aca="false">B46/B43</f>
        <v>0.0661397162469942</v>
      </c>
      <c r="C47" s="95" t="n">
        <f aca="false">C46/C43</f>
        <v>0.102386359211761</v>
      </c>
    </row>
    <row r="48" customFormat="false" ht="15" hidden="false" customHeight="false" outlineLevel="0" collapsed="false">
      <c r="A48" s="15" t="s">
        <v>539</v>
      </c>
      <c r="B48" s="96" t="str">
        <f aca="false">IF(B47&lt;'Cover &amp; Assumptions'!$B$22,"YES — BREACH","No")</f>
        <v>YES — BREACH</v>
      </c>
      <c r="C48" s="96" t="str">
        <f aca="false">IF(C47&lt;'Cover &amp; Assumptions'!$B$22,"YES — BREACH","No")</f>
        <v>No</v>
      </c>
    </row>
    <row r="49" customFormat="false" ht="15" hidden="false" customHeight="false" outlineLevel="0" collapsed="false">
      <c r="A49" s="15" t="s">
        <v>540</v>
      </c>
      <c r="B49" s="84" t="n">
        <f aca="false">(B45-'Cover &amp; Assumptions'!$B$21)*10000</f>
        <v>-86.0274090198876</v>
      </c>
      <c r="C49" s="84" t="n">
        <f aca="false">(C45-'Cover &amp; Assumptions'!$B$21)*10000</f>
        <v>-6.94826067916765</v>
      </c>
    </row>
    <row r="50" customFormat="false" ht="15" hidden="false" customHeight="false" outlineLevel="0" collapsed="false">
      <c r="A50" s="27" t="s">
        <v>541</v>
      </c>
      <c r="B50" s="28" t="n">
        <f aca="false">MAX(0,'Cover &amp; Assumptions'!$B$21*B43-B40)</f>
        <v>257.2950225</v>
      </c>
      <c r="C50" s="28" t="n">
        <f aca="false">MAX(0,'Cover &amp; Assumptions'!$B$21*C43-C40)</f>
        <v>18.8297986000002</v>
      </c>
      <c r="E50" s="17" t="s">
        <v>542</v>
      </c>
    </row>
    <row r="52" customFormat="false" ht="15" hidden="false" customHeight="false" outlineLevel="0" collapsed="false">
      <c r="A52" s="7" t="s">
        <v>543</v>
      </c>
      <c r="B52" s="4"/>
      <c r="C52" s="4"/>
      <c r="D52" s="4"/>
      <c r="E52" s="4"/>
    </row>
    <row r="53" customFormat="false" ht="27.75" hidden="false" customHeight="true" outlineLevel="0" collapsed="false">
      <c r="A53" s="13" t="s">
        <v>13</v>
      </c>
      <c r="B53" s="14" t="s">
        <v>381</v>
      </c>
      <c r="C53" s="14" t="s">
        <v>377</v>
      </c>
      <c r="D53" s="14"/>
      <c r="E53" s="14" t="s">
        <v>117</v>
      </c>
    </row>
    <row r="54" customFormat="false" ht="15" hidden="false" customHeight="false" outlineLevel="0" collapsed="false">
      <c r="A54" s="15" t="s">
        <v>544</v>
      </c>
      <c r="B54" s="24" t="n">
        <f aca="false">'Deal B Pro Forma'!$B$103</f>
        <v>990.5775</v>
      </c>
      <c r="C54" s="24" t="n">
        <f aca="false">'Deal C Pro Forma'!$B$103</f>
        <v>635.48375</v>
      </c>
    </row>
    <row r="55" customFormat="false" ht="15" hidden="false" customHeight="false" outlineLevel="0" collapsed="false">
      <c r="A55" s="15" t="s">
        <v>545</v>
      </c>
      <c r="B55" s="25" t="n">
        <f aca="false">-B25</f>
        <v>-279.5415</v>
      </c>
      <c r="C55" s="25" t="n">
        <f aca="false">-C25</f>
        <v>-18.01064</v>
      </c>
    </row>
    <row r="56" customFormat="false" ht="15" hidden="false" customHeight="false" outlineLevel="0" collapsed="false">
      <c r="A56" s="27" t="s">
        <v>546</v>
      </c>
      <c r="B56" s="43" t="n">
        <f aca="false">B54+B55</f>
        <v>711.036</v>
      </c>
      <c r="C56" s="43" t="n">
        <f aca="false">C54+C55</f>
        <v>617.47311</v>
      </c>
    </row>
    <row r="57" customFormat="false" ht="15" hidden="false" customHeight="false" outlineLevel="0" collapsed="false">
      <c r="A57" s="27" t="s">
        <v>547</v>
      </c>
      <c r="B57" s="28" t="n">
        <f aca="false">B56*(1-'Cover &amp; Assumptions'!$B$20)</f>
        <v>526.16664</v>
      </c>
      <c r="C57" s="28" t="n">
        <f aca="false">C56*(1-'Cover &amp; Assumptions'!$B$20)</f>
        <v>456.9301014</v>
      </c>
    </row>
    <row r="58" customFormat="false" ht="15" hidden="false" customHeight="false" outlineLevel="0" collapsed="false">
      <c r="A58" s="15" t="s">
        <v>298</v>
      </c>
      <c r="B58" s="57" t="n">
        <f aca="false">'Deal B Pro Forma'!$B$72</f>
        <v>143.965909090909</v>
      </c>
      <c r="C58" s="57" t="n">
        <f aca="false">'Deal C Pro Forma'!$B$72</f>
        <v>124.261363636364</v>
      </c>
    </row>
    <row r="59" customFormat="false" ht="15" hidden="false" customHeight="false" outlineLevel="0" collapsed="false">
      <c r="A59" s="27" t="s">
        <v>548</v>
      </c>
      <c r="B59" s="97" t="n">
        <f aca="false">B57/B58</f>
        <v>3.65480024627043</v>
      </c>
      <c r="C59" s="97" t="n">
        <f aca="false">C57/C58</f>
        <v>3.67716954030178</v>
      </c>
    </row>
    <row r="60" customFormat="false" ht="15" hidden="false" customHeight="false" outlineLevel="0" collapsed="false">
      <c r="A60" s="15" t="s">
        <v>549</v>
      </c>
      <c r="B60" s="55" t="n">
        <f aca="false">'Deal B Pro Forma'!$B$110</f>
        <v>5.09167312337201</v>
      </c>
      <c r="C60" s="55" t="n">
        <f aca="false">'Deal C Pro Forma'!$B$110</f>
        <v>3.78442631915867</v>
      </c>
    </row>
    <row r="61" customFormat="false" ht="15" hidden="false" customHeight="false" outlineLevel="0" collapsed="false">
      <c r="A61" s="27" t="s">
        <v>550</v>
      </c>
      <c r="B61" s="33" t="n">
        <f aca="false">B59/B60-1</f>
        <v>-0.282200534536672</v>
      </c>
      <c r="C61" s="33" t="n">
        <f aca="false">C59/C60-1</f>
        <v>-0.0283416216386336</v>
      </c>
    </row>
    <row r="62" customFormat="false" ht="15" hidden="false" customHeight="false" outlineLevel="0" collapsed="false">
      <c r="A62" s="15" t="s">
        <v>551</v>
      </c>
      <c r="B62" s="25" t="n">
        <f aca="false">'Standalone Summary'!$C$122-'Standalone Summary'!$C$124*'Cover &amp; Assumptions'!$B$96</f>
        <v>584.123</v>
      </c>
      <c r="C62" s="25" t="n">
        <f aca="false">'Standalone Summary'!$C$122-'Standalone Summary'!$C$124*'Cover &amp; Assumptions'!$B$96</f>
        <v>584.123</v>
      </c>
      <c r="E62" s="17" t="s">
        <v>552</v>
      </c>
    </row>
    <row r="63" customFormat="false" ht="15" hidden="false" customHeight="false" outlineLevel="0" collapsed="false">
      <c r="A63" s="15" t="s">
        <v>553</v>
      </c>
      <c r="B63" s="38" t="n">
        <f aca="false">B62*(1-'Cover &amp; Assumptions'!$B$20)/'Cover &amp; Assumptions'!$B$24</f>
        <v>3.60209183333333</v>
      </c>
      <c r="C63" s="38" t="n">
        <f aca="false">B62*(1-'Cover &amp; Assumptions'!$B$20)/'Cover &amp; Assumptions'!$B$24</f>
        <v>3.60209183333333</v>
      </c>
    </row>
    <row r="64" customFormat="false" ht="15" hidden="false" customHeight="false" outlineLevel="0" collapsed="false">
      <c r="A64" s="27" t="s">
        <v>554</v>
      </c>
      <c r="B64" s="62" t="n">
        <f aca="false">B59/B63-1</f>
        <v>0.0146327232552304</v>
      </c>
      <c r="C64" s="62" t="n">
        <f aca="false">C59/C63-1</f>
        <v>0.0208428075802205</v>
      </c>
    </row>
    <row r="66" customFormat="false" ht="15" hidden="false" customHeight="false" outlineLevel="0" collapsed="false">
      <c r="A66" s="7" t="s">
        <v>555</v>
      </c>
      <c r="B66" s="4"/>
      <c r="C66" s="4"/>
      <c r="D66" s="4"/>
      <c r="E66" s="4"/>
    </row>
    <row r="67" customFormat="false" ht="27.75" hidden="false" customHeight="true" outlineLevel="0" collapsed="false">
      <c r="A67" s="13" t="s">
        <v>13</v>
      </c>
      <c r="B67" s="14" t="s">
        <v>381</v>
      </c>
      <c r="C67" s="14" t="s">
        <v>377</v>
      </c>
      <c r="D67" s="14"/>
      <c r="E67" s="14" t="s">
        <v>117</v>
      </c>
    </row>
    <row r="68" customFormat="false" ht="15" hidden="false" customHeight="false" outlineLevel="0" collapsed="false">
      <c r="A68" s="15" t="s">
        <v>556</v>
      </c>
      <c r="B68" s="24" t="n">
        <f aca="false">'Standalone Summary'!$E$137</f>
        <v>10049.05</v>
      </c>
      <c r="C68" s="24" t="n">
        <f aca="false">'Standalone Summary'!$E$150</f>
        <v>399.32672</v>
      </c>
    </row>
    <row r="69" customFormat="false" ht="15" hidden="false" customHeight="false" outlineLevel="0" collapsed="false">
      <c r="A69" s="15" t="s">
        <v>557</v>
      </c>
      <c r="B69" s="25" t="n">
        <f aca="false">B68*('Cover &amp; Assumptions'!$B$94+'Cover &amp; Assumptions'!$B$95*B20)</f>
        <v>330.613745</v>
      </c>
      <c r="C69" s="25" t="n">
        <f aca="false">C68*('Cover &amp; Assumptions'!$B$94+'Cover &amp; Assumptions'!$B$95*C20)</f>
        <v>12.658657024</v>
      </c>
    </row>
    <row r="70" customFormat="false" ht="15" hidden="false" customHeight="false" outlineLevel="0" collapsed="false">
      <c r="A70" s="15" t="s">
        <v>558</v>
      </c>
      <c r="B70" s="24" t="n">
        <f aca="false">'Deal B Pro Forma'!$D$127</f>
        <v>651.857774900001</v>
      </c>
      <c r="C70" s="24" t="n">
        <f aca="false">'Deal C Pro Forma'!$D$127</f>
        <v>188.24510868</v>
      </c>
    </row>
    <row r="71" customFormat="false" ht="15" hidden="false" customHeight="false" outlineLevel="0" collapsed="false">
      <c r="A71" s="27" t="s">
        <v>559</v>
      </c>
      <c r="B71" s="43" t="n">
        <f aca="false">B70-B69*(1-'Cover &amp; Assumptions'!$B$20)</f>
        <v>407.203603600001</v>
      </c>
      <c r="C71" s="43" t="n">
        <f aca="false">C70-C69*(1-'Cover &amp; Assumptions'!$B$20)</f>
        <v>178.87770248224</v>
      </c>
    </row>
    <row r="72" customFormat="false" ht="15" hidden="false" customHeight="false" outlineLevel="0" collapsed="false">
      <c r="A72" s="15" t="s">
        <v>560</v>
      </c>
      <c r="B72" s="24" t="n">
        <f aca="false">'Deal B Pro Forma'!$B$129</f>
        <v>2837.7</v>
      </c>
      <c r="C72" s="24" t="n">
        <f aca="false">'Deal C Pro Forma'!$B$129</f>
        <v>1307.8</v>
      </c>
    </row>
    <row r="73" customFormat="false" ht="15" hidden="false" customHeight="false" outlineLevel="0" collapsed="false">
      <c r="A73" s="15" t="s">
        <v>561</v>
      </c>
      <c r="B73" s="71" t="n">
        <f aca="false">'Deal B Pro Forma'!$D$131</f>
        <v>0.229713421045213</v>
      </c>
      <c r="C73" s="71" t="n">
        <f aca="false">'Deal C Pro Forma'!$D$131</f>
        <v>0.143940288025692</v>
      </c>
    </row>
    <row r="74" customFormat="false" ht="15" hidden="false" customHeight="false" outlineLevel="0" collapsed="false">
      <c r="A74" s="27" t="s">
        <v>562</v>
      </c>
      <c r="B74" s="62" t="n">
        <f aca="false">B71/B72</f>
        <v>0.143497763540896</v>
      </c>
      <c r="C74" s="62" t="n">
        <f aca="false">C71/C72</f>
        <v>0.136777567274996</v>
      </c>
    </row>
    <row r="75" customFormat="false" ht="15" hidden="false" customHeight="false" outlineLevel="0" collapsed="false">
      <c r="A75" s="15" t="s">
        <v>563</v>
      </c>
      <c r="B75" s="84" t="n">
        <f aca="false">(B73-C73)*10000</f>
        <v>857.731330195209</v>
      </c>
    </row>
    <row r="76" customFormat="false" ht="15" hidden="false" customHeight="false" outlineLevel="0" collapsed="false">
      <c r="A76" s="27" t="s">
        <v>564</v>
      </c>
      <c r="B76" s="98" t="n">
        <f aca="false">(B74-C74)*10000</f>
        <v>67.2019626589981</v>
      </c>
    </row>
    <row r="77" customFormat="false" ht="15" hidden="false" customHeight="false" outlineLevel="0" collapsed="false">
      <c r="A77" s="17" t="s">
        <v>565</v>
      </c>
    </row>
    <row r="79" customFormat="false" ht="15" hidden="false" customHeight="false" outlineLevel="0" collapsed="false">
      <c r="A79" s="7" t="s">
        <v>566</v>
      </c>
      <c r="B79" s="4"/>
      <c r="C79" s="4"/>
      <c r="D79" s="4"/>
      <c r="E79" s="4"/>
    </row>
    <row r="80" customFormat="false" ht="27.75" hidden="false" customHeight="true" outlineLevel="0" collapsed="false">
      <c r="A80" s="13" t="s">
        <v>567</v>
      </c>
      <c r="B80" s="14" t="s">
        <v>381</v>
      </c>
      <c r="C80" s="14" t="s">
        <v>377</v>
      </c>
      <c r="D80" s="14"/>
      <c r="E80" s="14"/>
    </row>
    <row r="81" customFormat="false" ht="15" hidden="false" customHeight="false" outlineLevel="0" collapsed="false">
      <c r="A81" s="27" t="s">
        <v>568</v>
      </c>
      <c r="B81" s="99" t="n">
        <f aca="false">B45</f>
        <v>0.101397259098011</v>
      </c>
      <c r="C81" s="99" t="n">
        <f aca="false">C45</f>
        <v>0.109305173932083</v>
      </c>
    </row>
    <row r="82" customFormat="false" ht="15" hidden="false" customHeight="false" outlineLevel="0" collapsed="false">
      <c r="A82" s="27" t="s">
        <v>569</v>
      </c>
      <c r="B82" s="99" t="n">
        <f aca="false">B47</f>
        <v>0.0661397162469942</v>
      </c>
      <c r="C82" s="99" t="n">
        <f aca="false">C47</f>
        <v>0.102386359211761</v>
      </c>
    </row>
    <row r="83" customFormat="false" ht="15" hidden="false" customHeight="false" outlineLevel="0" collapsed="false">
      <c r="A83" s="27" t="s">
        <v>570</v>
      </c>
      <c r="B83" s="60" t="n">
        <f aca="false">B59</f>
        <v>3.65480024627043</v>
      </c>
      <c r="C83" s="60" t="n">
        <f aca="false">C59</f>
        <v>3.67716954030178</v>
      </c>
    </row>
    <row r="84" customFormat="false" ht="15" hidden="false" customHeight="false" outlineLevel="0" collapsed="false">
      <c r="A84" s="27" t="s">
        <v>571</v>
      </c>
      <c r="B84" s="33" t="n">
        <f aca="false">B64</f>
        <v>0.0146327232552304</v>
      </c>
      <c r="C84" s="33" t="n">
        <f aca="false">C64</f>
        <v>0.0208428075802205</v>
      </c>
    </row>
    <row r="85" customFormat="false" ht="15" hidden="false" customHeight="false" outlineLevel="0" collapsed="false">
      <c r="A85" s="27" t="s">
        <v>572</v>
      </c>
      <c r="B85" s="33" t="n">
        <f aca="false">B74</f>
        <v>0.143497763540896</v>
      </c>
      <c r="C85" s="33" t="n">
        <f aca="false">C74</f>
        <v>0.136777567274996</v>
      </c>
    </row>
    <row r="86" customFormat="false" ht="15" hidden="false" customHeight="false" outlineLevel="0" collapsed="false">
      <c r="A86" s="27" t="s">
        <v>573</v>
      </c>
      <c r="B86" s="28" t="n">
        <f aca="false">B50</f>
        <v>257.2950225</v>
      </c>
      <c r="C86" s="28" t="n">
        <f aca="false">C50</f>
        <v>18.8297986000002</v>
      </c>
    </row>
  </sheetData>
  <mergeCells count="1">
    <mergeCell ref="A5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2026-08-13T22:23:54Z</dcterms:created>
  <dc:creator>openpyxl</dc:creator>
  <dc:description/>
  <dc:language>en-US</dc:language>
  <cp:lastModifiedBy/>
  <dcterms:modified xsi:type="dcterms:W3CDTF">2026-08-13T22:23:54Z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