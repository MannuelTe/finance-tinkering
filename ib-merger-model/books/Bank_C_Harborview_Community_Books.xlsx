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Summary" sheetId="1" state="visible" r:id="rId3"/>
    <sheet name="Balance Sheet" sheetId="2" state="visible" r:id="rId4"/>
    <sheet name="Income Statement" sheetId="3" state="visible" r:id="rId5"/>
    <sheet name="Credit Card Portfolio Detail" sheetId="4" state="visible" r:id="rId6"/>
    <sheet name="Capital &amp; Regulatory Ratios" sheetId="5" state="visible" r:id="rId7"/>
    <sheet name="Key Rat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Finance</author>
  </authors>
  <commentList>
    <comment ref="D9" authorId="0">
      <text>
        <r>
          <rPr>
            <sz val="10"/>
            <rFont val="Arial"/>
            <family val="2"/>
          </rPr>
          <t xml:space="preserve">FY2025 is the fixed case anchor year — figures taken directly from the M&amp;A case-study spec.</t>
        </r>
      </text>
    </comment>
  </commentList>
</comments>
</file>

<file path=xl/sharedStrings.xml><?xml version="1.0" encoding="utf-8"?>
<sst xmlns="http://schemas.openxmlformats.org/spreadsheetml/2006/main" count="355" uniqueCount="267">
  <si>
    <t xml:space="preserve">HARBORVIEW COMMUNITY BANK</t>
  </si>
  <si>
    <t xml:space="preserve">Bank C — Target Option 2 (safety &amp; funding).  Small conservative community bank: strong low-cost deposit base, small high-quality low-yield card book, excellent capital ratios.</t>
  </si>
  <si>
    <t xml:space="preserve">Financial statement workbook  |  FY2023 – FY2025  |  Currency: CAD $ millions unless noted  |  Fiscal year ended December 31  |  Statutory tax rate 26%</t>
  </si>
  <si>
    <t xml:space="preserve">IMPORTANT — FICTIONAL DATA DISCLAIMER
All entities, financial figures, and events in this document are entirely fictional, created for illustrative/educational simulation purposes. They do not represent any real institution, and nothing here is financial, investment, or M&amp;A advice.</t>
  </si>
  <si>
    <t xml:space="preserve">HEADLINE METRICS ($ millions unless noted)</t>
  </si>
  <si>
    <t xml:space="preserve">FY2023</t>
  </si>
  <si>
    <t xml:space="preserve">FY2024</t>
  </si>
  <si>
    <t xml:space="preserve">FY2025</t>
  </si>
  <si>
    <t xml:space="preserve">Notes / basis</t>
  </si>
  <si>
    <t xml:space="preserve">SCALE</t>
  </si>
  <si>
    <t xml:space="preserve">   Total assets</t>
  </si>
  <si>
    <t xml:space="preserve">Link -&gt; Balance Sheet</t>
  </si>
  <si>
    <t xml:space="preserve">   Total loans &amp; receivables, net</t>
  </si>
  <si>
    <t xml:space="preserve">   Total deposits</t>
  </si>
  <si>
    <t xml:space="preserve">   Common shareholders' equity</t>
  </si>
  <si>
    <t xml:space="preserve">EARNINGS</t>
  </si>
  <si>
    <t xml:space="preserve">   Total revenue</t>
  </si>
  <si>
    <t xml:space="preserve">   Provision for credit losses</t>
  </si>
  <si>
    <t xml:space="preserve">   Net income</t>
  </si>
  <si>
    <t xml:space="preserve">Link -&gt; Income Statement</t>
  </si>
  <si>
    <t xml:space="preserve">   Return on equity</t>
  </si>
  <si>
    <t xml:space="preserve">   Return on assets</t>
  </si>
  <si>
    <t xml:space="preserve">   Net interest margin</t>
  </si>
  <si>
    <t xml:space="preserve">   Efficiency ratio</t>
  </si>
  <si>
    <t xml:space="preserve">CAPITAL</t>
  </si>
  <si>
    <t xml:space="preserve">   CET1 capital</t>
  </si>
  <si>
    <t xml:space="preserve">   Risk-weighted assets</t>
  </si>
  <si>
    <t xml:space="preserve">   CET1 ratio</t>
  </si>
  <si>
    <t xml:space="preserve">Link -&gt; Capital &amp; Regulatory Ratios</t>
  </si>
  <si>
    <t xml:space="preserve">   Tier 1 leverage ratio</t>
  </si>
  <si>
    <t xml:space="preserve">CREDIT CARD PORTFOLIO</t>
  </si>
  <si>
    <t xml:space="preserve">   Active accounts (#)</t>
  </si>
  <si>
    <t xml:space="preserve">   Gross card receivables</t>
  </si>
  <si>
    <t xml:space="preserve">Link -&gt; Credit Card Portfolio Detail</t>
  </si>
  <si>
    <t xml:space="preserve">   Annual purchase volume</t>
  </si>
  <si>
    <t xml:space="preserve">   Posted purchase APR</t>
  </si>
  <si>
    <t xml:space="preserve">   90+ days past due</t>
  </si>
  <si>
    <t xml:space="preserve">   Net charge-off rate</t>
  </si>
  <si>
    <t xml:space="preserve">   Allowance coverage (% of gross)</t>
  </si>
  <si>
    <t xml:space="preserve">WORKBOOK INTEGRITY CHECKS  (all differences must be zero)</t>
  </si>
  <si>
    <t xml:space="preserve">   Balance sheet: total assets less total liabilities &amp; equity</t>
  </si>
  <si>
    <t xml:space="preserve">   Income statement: revenue less PCL, opex and tax, less net income</t>
  </si>
  <si>
    <t xml:space="preserve">   Equity roll-forward: opening + net income - distributions less closing equity</t>
  </si>
  <si>
    <t xml:space="preserve">   Card book: gross less allowance versus balance-sheet net card receivables</t>
  </si>
  <si>
    <t xml:space="preserve">   IFRS 9 staging: Stage 1 + Stage 2 + Stage 3 less 100%</t>
  </si>
  <si>
    <t xml:space="preserve">   Card fee income on card tab versus income statement</t>
  </si>
  <si>
    <t xml:space="preserve">BASIS OF PREPARATION, CONVENTIONS &amp; KEY ASSUMPTIONS</t>
  </si>
  <si>
    <t xml:space="preserve">1.  FY2025 is the case anchor year. Every FY2025 figure in this workbook is taken directly and unaltered from the M&amp;A case-study spec (Sections 2–4). It is not re-derived.</t>
  </si>
  <si>
    <t xml:space="preserve">2.  Back-cast basis (FY2023–FY2024): slow-and-safe profile per case spec — total assets CAGR ~2.5%/yr, card book ~4%/yr, credit quality stable/excellent throughout, CET1 stable and high (~16.5–17.1%) across all three years.</t>
  </si>
  <si>
    <t xml:space="preserve">3.  Colour convention (standard financial-model practice): blue text = hardcoded input or case assumption; black text = formula calculated on that sheet; green text = link to another tab in this workbook. Every subtotal, total and ratio is a live formula.</t>
  </si>
  <si>
    <t xml:space="preserve">4.  Ratio convention: period-end balance-sheet denominators throughout, consistent with the FY2025 ratios quoted in the case spec. Earning assets = investment securities + net loans and receivables. Interest-bearing liabilities = total deposits + wholesale funding. Net charge-off rates are applied to average gross receivables.</t>
  </si>
  <si>
    <t xml:space="preserve">5.  Shared case assumptions (spec Section 0): interchange 1.5% of purchase volume; statutory tax rate 26%; credit card risk weights 45% transactor / 75% revolver; 10% credit conversion factor on undrawn unconditionally cancellable card lines; IFRS 9 three-stage ECL model.</t>
  </si>
  <si>
    <t xml:space="preserve">6.  Opening (FY2022) balances for common equity, gross card receivables and the card allowance are back-cast assumptions, shown as blue inputs on the relevant tabs, and are used only to complete the FY2023 roll-forwards and averages.</t>
  </si>
  <si>
    <t xml:space="preserve">7.  All three balance sheets balance and all three income statements tie out in every year — see the integrity checks above.</t>
  </si>
  <si>
    <t xml:space="preserve">HARBORVIEW COMMUNITY BANK — CONSOLIDATED BALANCE SHEET</t>
  </si>
  <si>
    <t xml:space="preserve">As at December 31  |  CAD $ millions  |  FY2025 = case anchor year (fixed); FY2023–FY2024 back-cast</t>
  </si>
  <si>
    <t xml:space="preserve">($ millions unless noted)</t>
  </si>
  <si>
    <t xml:space="preserve">ASSETS</t>
  </si>
  <si>
    <t xml:space="preserve">   Cash &amp; equivalents</t>
  </si>
  <si>
    <t xml:space="preserve">   Investment securities</t>
  </si>
  <si>
    <t xml:space="preserve">   Residential mortgages</t>
  </si>
  <si>
    <t xml:space="preserve">   Commercial &amp; business loans</t>
  </si>
  <si>
    <t xml:space="preserve">   Credit card receivables, net of allowance</t>
  </si>
  <si>
    <t xml:space="preserve">   Other consumer loans</t>
  </si>
  <si>
    <t xml:space="preserve">Sum of loan lines above</t>
  </si>
  <si>
    <t xml:space="preserve">   Other assets</t>
  </si>
  <si>
    <t xml:space="preserve">TOTAL ASSETS</t>
  </si>
  <si>
    <t xml:space="preserve">Sum of all asset lines</t>
  </si>
  <si>
    <t xml:space="preserve">LIABILITIES &amp; SHAREHOLDERS' EQUITY</t>
  </si>
  <si>
    <t xml:space="preserve">   Deposits — chequing / savings</t>
  </si>
  <si>
    <t xml:space="preserve">   Deposits — term / GIC</t>
  </si>
  <si>
    <t xml:space="preserve">Sum of deposit lines</t>
  </si>
  <si>
    <t xml:space="preserve">   Wholesale borrowings</t>
  </si>
  <si>
    <t xml:space="preserve">   Other liabilities</t>
  </si>
  <si>
    <t xml:space="preserve">   Total liabilities</t>
  </si>
  <si>
    <t xml:space="preserve">TOTAL LIABILITIES &amp; EQUITY</t>
  </si>
  <si>
    <t xml:space="preserve">Balance check  (total assets less total liabilities &amp; equity)</t>
  </si>
  <si>
    <t xml:space="preserve">COMMON EQUITY ROLL-FORWARD</t>
  </si>
  <si>
    <t xml:space="preserve">   Common equity, opening balance</t>
  </si>
  <si>
    <t xml:space="preserve">FY2023 opening balance is a back-cast assumption; later years roll from prior year-end</t>
  </si>
  <si>
    <t xml:space="preserve">   Net income for the year</t>
  </si>
  <si>
    <t xml:space="preserve">   Less: dividends &amp; share repurchases (derived)</t>
  </si>
  <si>
    <t xml:space="preserve">Derived as the plug between opening equity + net income and closing equity</t>
  </si>
  <si>
    <t xml:space="preserve">   Common equity, closing balance</t>
  </si>
  <si>
    <t xml:space="preserve">Equity roll-forward check  (vs. reported common equity)</t>
  </si>
  <si>
    <t xml:space="preserve">MEMORANDUM ITEMS</t>
  </si>
  <si>
    <t xml:space="preserve">   Gross credit card receivables</t>
  </si>
  <si>
    <t xml:space="preserve">   Credit card allowance for credit losses</t>
  </si>
  <si>
    <t xml:space="preserve">   Credit card receivables, net (check vs. balance sheet)</t>
  </si>
  <si>
    <t xml:space="preserve">Should equal zero — gross less allowance ties to the balance-sheet card line</t>
  </si>
  <si>
    <t xml:space="preserve">   Earning assets (investment securities + net loans)</t>
  </si>
  <si>
    <t xml:space="preserve">Denominator used for yield / NIM on the Key Ratios tab</t>
  </si>
  <si>
    <t xml:space="preserve">   Interest-bearing liabilities (deposits + wholesale funding)</t>
  </si>
  <si>
    <t xml:space="preserve">Denominator used for cost of funds on the Key Ratios tab</t>
  </si>
  <si>
    <t xml:space="preserve">   Loan-to-deposit ratio</t>
  </si>
  <si>
    <t xml:space="preserve">   Common equity / total assets</t>
  </si>
  <si>
    <t xml:space="preserve">Colour convention:  blue = hardcoded input / case assumption   |   black = formula on this sheet   |   green = link to another tab.</t>
  </si>
  <si>
    <t xml:space="preserve">Back-cast basis (FY2023–FY2024): slow-and-safe profile per case spec — total assets CAGR ~2.5%/yr, card book ~4%/yr, credit quality stable/excellent throughout, CET1 stable and high (~16.5–17.1%) across all three years.</t>
  </si>
  <si>
    <t xml:space="preserve">Source for FY2025: M&amp;A case-study spec, Section 2/3/4 (fictional). FY2025 anchor figures are fixed and unaltered.</t>
  </si>
  <si>
    <t xml:space="preserve">HARBORVIEW COMMUNITY BANK — CONSOLIDATED STATEMENT OF INCOME</t>
  </si>
  <si>
    <t xml:space="preserve">Year ended December 31  |  CAD $ millions  |  FY2025 = case anchor year (fixed); FY2023–FY2024 back-cast</t>
  </si>
  <si>
    <t xml:space="preserve">NET INTEREST INCOME</t>
  </si>
  <si>
    <t xml:space="preserve">   Interest income</t>
  </si>
  <si>
    <t xml:space="preserve">   Interest expense</t>
  </si>
  <si>
    <t xml:space="preserve">   Net interest income</t>
  </si>
  <si>
    <t xml:space="preserve">NON-INTEREST INCOME</t>
  </si>
  <si>
    <t xml:space="preserve">   Interchange &amp; credit card fee income</t>
  </si>
  <si>
    <t xml:space="preserve">Link -&gt; Card tab: purchase volume x 1.5% interchange + other card fees</t>
  </si>
  <si>
    <t xml:space="preserve">   Other fee income</t>
  </si>
  <si>
    <t xml:space="preserve">   Total non-interest income</t>
  </si>
  <si>
    <t xml:space="preserve">TOTAL REVENUE</t>
  </si>
  <si>
    <t xml:space="preserve">EXPENSES &amp; PROVISIONS</t>
  </si>
  <si>
    <t xml:space="preserve">IFRS 9 expected-credit-loss provision, all lending portfolios</t>
  </si>
  <si>
    <t xml:space="preserve">   Non-interest expense (operating expense)</t>
  </si>
  <si>
    <t xml:space="preserve">   Income before income taxes</t>
  </si>
  <si>
    <t xml:space="preserve">   Statutory income tax rate</t>
  </si>
  <si>
    <t xml:space="preserve">Case assumption: 26% throughout (spec Section 0)</t>
  </si>
  <si>
    <t xml:space="preserve">   Income tax expense</t>
  </si>
  <si>
    <t xml:space="preserve">Pre-tax income x statutory tax rate, rounded to the nearest $mm</t>
  </si>
  <si>
    <t xml:space="preserve">NET INCOME</t>
  </si>
  <si>
    <t xml:space="preserve">Income statement tie-out  (revenue less PCL, opex and tax, less net income)</t>
  </si>
  <si>
    <t xml:space="preserve">GROWTH &amp; COMPOSITION</t>
  </si>
  <si>
    <t xml:space="preserve">   Total revenue growth (YoY)</t>
  </si>
  <si>
    <t xml:space="preserve">   Net income growth (YoY)</t>
  </si>
  <si>
    <t xml:space="preserve">   Provision for credit losses growth (YoY)</t>
  </si>
  <si>
    <t xml:space="preserve">   Net interest income / total revenue</t>
  </si>
  <si>
    <t xml:space="preserve">   Non-interest income / total revenue</t>
  </si>
  <si>
    <t xml:space="preserve">   Provision for credit losses / total revenue</t>
  </si>
  <si>
    <t xml:space="preserve">HARBORVIEW COMMUNITY BANK — CREDIT CARD PORTFOLIO DETAIL</t>
  </si>
  <si>
    <t xml:space="preserve">As at / for the year ended December 31  |  CAD $ millions unless noted</t>
  </si>
  <si>
    <t xml:space="preserve">PORTFOLIO SIZE &amp; COMPOSITION</t>
  </si>
  <si>
    <t xml:space="preserve">   Allowance for credit losses (IFRS 9 ECL)</t>
  </si>
  <si>
    <t xml:space="preserve">   Net credit card receivables</t>
  </si>
  <si>
    <t xml:space="preserve">Ties to the balance-sheet credit card line</t>
  </si>
  <si>
    <t xml:space="preserve">   Allowance coverage (% of gross receivables)</t>
  </si>
  <si>
    <t xml:space="preserve">   Average balance per active account ($, actual)</t>
  </si>
  <si>
    <t xml:space="preserve">   Revolve rate (% of balances carried / not paid in full)</t>
  </si>
  <si>
    <t xml:space="preserve">LINES, UTILISATION &amp; PURCHASE VOLUME</t>
  </si>
  <si>
    <t xml:space="preserve">   Total credit line exposure (approved limits)</t>
  </si>
  <si>
    <t xml:space="preserve">   Undrawn lines (unconditionally cancellable commitments)</t>
  </si>
  <si>
    <t xml:space="preserve">   Utilisation (drawn / total lines, period-end)</t>
  </si>
  <si>
    <t xml:space="preserve">   Interchange rate on purchase volume</t>
  </si>
  <si>
    <t xml:space="preserve">Case assumption: 1.5% (spec Section 0)</t>
  </si>
  <si>
    <t xml:space="preserve">   Interchange income</t>
  </si>
  <si>
    <t xml:space="preserve">   Other card fee income (annual / late / FX)</t>
  </si>
  <si>
    <t xml:space="preserve">   Total interchange &amp; card fee income</t>
  </si>
  <si>
    <t xml:space="preserve">Flows to the Income Statement non-interest income line</t>
  </si>
  <si>
    <t xml:space="preserve">DELINQUENCY &amp; LOSS PERFORMANCE</t>
  </si>
  <si>
    <t xml:space="preserve">   30+ days past due (% of gross receivables)</t>
  </si>
  <si>
    <t xml:space="preserve">   90+ days past due (% of gross receivables)</t>
  </si>
  <si>
    <t xml:space="preserve">   90+ days past due ($)</t>
  </si>
  <si>
    <t xml:space="preserve">   Net charge-off rate (% of average gross receivables)</t>
  </si>
  <si>
    <t xml:space="preserve">   Memo: gross receivables, prior year-end (FY2022 opening)</t>
  </si>
  <si>
    <t xml:space="preserve">FY2022 opening balance is a back-cast assumption used only to average the FY2023 book</t>
  </si>
  <si>
    <t xml:space="preserve">   Average gross receivables</t>
  </si>
  <si>
    <t xml:space="preserve">   Net charge-offs ($)</t>
  </si>
  <si>
    <t xml:space="preserve">   Reserve cushion: allowance coverage / net charge-off rate</t>
  </si>
  <si>
    <t xml:space="preserve">Years of the current loss run-rate covered by the standing allowance</t>
  </si>
  <si>
    <t xml:space="preserve">   90+ DPD / net charge-off rate</t>
  </si>
  <si>
    <t xml:space="preserve">Rising ratio signals losses still working through the delinquency pipeline</t>
  </si>
  <si>
    <t xml:space="preserve">IFRS 9 STAGING (% OF GROSS RECEIVABLES)</t>
  </si>
  <si>
    <t xml:space="preserve">   Stage 1 — performing, 12-month ECL</t>
  </si>
  <si>
    <t xml:space="preserve">   Stage 2 — significant increase in credit risk, lifetime ECL</t>
  </si>
  <si>
    <t xml:space="preserve">   Stage 3 — credit-impaired (~90+ DPD), lifetime ECL</t>
  </si>
  <si>
    <t xml:space="preserve">   Total</t>
  </si>
  <si>
    <t xml:space="preserve">Staging check  (total less 100%)</t>
  </si>
  <si>
    <t xml:space="preserve">   Stage 3 balances ($)</t>
  </si>
  <si>
    <t xml:space="preserve">RISK PARAMETERS</t>
  </si>
  <si>
    <t xml:space="preserve">   Blended 12-month probability of default (PD)</t>
  </si>
  <si>
    <t xml:space="preserve">   Loss given default (LGD) — unsecured card</t>
  </si>
  <si>
    <t xml:space="preserve">Implied recovery = 1 - LGD; case range 78-86% LGD (spec Section 0)</t>
  </si>
  <si>
    <t xml:space="preserve">   Implied 12-month expected loss rate (PD x LGD)</t>
  </si>
  <si>
    <t xml:space="preserve">   Implied recovery rate (cents on the dollar)</t>
  </si>
  <si>
    <t xml:space="preserve">ALLOWANCE ROLL-FORWARD (CARD PORTFOLIO)</t>
  </si>
  <si>
    <t xml:space="preserve">   Allowance, opening balance</t>
  </si>
  <si>
    <t xml:space="preserve">   Card provision for credit losses (implied)</t>
  </si>
  <si>
    <t xml:space="preserve">Derived: closing allowance less opening allowance plus net charge-offs</t>
  </si>
  <si>
    <t xml:space="preserve">   Less: net charge-offs</t>
  </si>
  <si>
    <t xml:space="preserve">   Allowance, closing balance</t>
  </si>
  <si>
    <t xml:space="preserve">   Memo: total provision for credit losses (all portfolios)</t>
  </si>
  <si>
    <t xml:space="preserve">   Card provision as % of total provision for credit losses</t>
  </si>
  <si>
    <t xml:space="preserve">GROWTH</t>
  </si>
  <si>
    <t xml:space="preserve">   Gross receivables growth (YoY)</t>
  </si>
  <si>
    <t xml:space="preserve">   Purchase volume growth (YoY)</t>
  </si>
  <si>
    <t xml:space="preserve">   Active account growth (YoY)</t>
  </si>
  <si>
    <t xml:space="preserve">   Gross receivables CAGR, FY2023 - FY2025</t>
  </si>
  <si>
    <t xml:space="preserve">Net charge-off rate is applied to average gross receivables (opening + closing) / 2, the standard card-industry convention.</t>
  </si>
  <si>
    <t xml:space="preserve">The card provision above is the portfolio-level implied provision; the Income Statement provision covers all lending portfolios.</t>
  </si>
  <si>
    <t xml:space="preserve">HARBORVIEW COMMUNITY BANK — CAPITAL &amp; REGULATORY RATIOS</t>
  </si>
  <si>
    <t xml:space="preserve">As at December 31  |  CAD $ millions  |  Basel III standardised approach (fictional Canadian jurisdiction)</t>
  </si>
  <si>
    <t xml:space="preserve">REGULATORY CAPITAL</t>
  </si>
  <si>
    <t xml:space="preserve">   Common Equity Tier 1 (CET1) capital</t>
  </si>
  <si>
    <t xml:space="preserve">   Memo: common shareholders' equity (balance sheet)</t>
  </si>
  <si>
    <t xml:space="preserve">   Memo: CET1 regulatory deductions (goodwill, intangibles, DTA)</t>
  </si>
  <si>
    <t xml:space="preserve">   Additional Tier 1 (AT1) instruments</t>
  </si>
  <si>
    <t xml:space="preserve">Debt-classified AT1 sits within other liabilities / wholesale funding on the balance sheet</t>
  </si>
  <si>
    <t xml:space="preserve">   Tier 1 capital</t>
  </si>
  <si>
    <t xml:space="preserve">   Tier 2 capital (eligible allowances &amp; subordinated debt)</t>
  </si>
  <si>
    <t xml:space="preserve">   Total regulatory capital</t>
  </si>
  <si>
    <t xml:space="preserve">RISK-WEIGHTED ASSETS &amp; EXPOSURE</t>
  </si>
  <si>
    <t xml:space="preserve">   Risk-weighted assets (RWA)</t>
  </si>
  <si>
    <t xml:space="preserve">   Undrawn credit card lines (unconditionally cancellable)</t>
  </si>
  <si>
    <t xml:space="preserve">   Credit conversion factor (CCF) on undrawn UCC card lines</t>
  </si>
  <si>
    <t xml:space="preserve">Basel III finalisation: 10% CCF on unconditionally cancellable commitments (spec Section 0)</t>
  </si>
  <si>
    <t xml:space="preserve">   Leverage / total exposure measure (assets + CCF x undrawn lines)</t>
  </si>
  <si>
    <t xml:space="preserve">   RWA density (RWA / total assets)</t>
  </si>
  <si>
    <t xml:space="preserve">   Implied blended risk weight (RWA / total exposure measure)</t>
  </si>
  <si>
    <t xml:space="preserve">CAPITAL RATIOS</t>
  </si>
  <si>
    <t xml:space="preserve">   Tier 1 capital ratio</t>
  </si>
  <si>
    <t xml:space="preserve">   Total capital ratio</t>
  </si>
  <si>
    <t xml:space="preserve">   Tier 1 leverage ratio (Tier 1 capital / total assets)</t>
  </si>
  <si>
    <t xml:space="preserve">   Basel III leverage ratio (Tier 1 / total exposure incl. CCF)</t>
  </si>
  <si>
    <t xml:space="preserve">CAPITAL HEADROOM</t>
  </si>
  <si>
    <t xml:space="preserve">   Regulatory minimum CET1 incl. capital conservation buffer</t>
  </si>
  <si>
    <t xml:space="preserve">Illustrative: 4.5% Pillar 1 minimum + 2.5% capital conservation buffer</t>
  </si>
  <si>
    <t xml:space="preserve">   CET1 surplus over regulatory minimum ($)</t>
  </si>
  <si>
    <t xml:space="preserve">   CET1 headroom over regulatory minimum (bps)</t>
  </si>
  <si>
    <t xml:space="preserve">CET1 MOVEMENT</t>
  </si>
  <si>
    <t xml:space="preserve">   CET1 capital growth (YoY)</t>
  </si>
  <si>
    <t xml:space="preserve">   RWA growth (YoY)</t>
  </si>
  <si>
    <t xml:space="preserve">   CET1 ratio change (bps, YoY)</t>
  </si>
  <si>
    <t xml:space="preserve">RISK-WEIGHT &amp; CCF ASSUMPTIONS APPLIED — CREDIT CARD EXPOSURES</t>
  </si>
  <si>
    <t xml:space="preserve">   Risk weight — transactor exposures</t>
  </si>
  <si>
    <t xml:space="preserve">Basel III finalisation standardised bucket (spec Section 0)</t>
  </si>
  <si>
    <t xml:space="preserve">   Risk weight — revolver exposures</t>
  </si>
  <si>
    <t xml:space="preserve">   Revolve rate (share of balances revolving)</t>
  </si>
  <si>
    <t xml:space="preserve">   Blended card risk weight (revolve x 75% + transactor x 45%)</t>
  </si>
  <si>
    <t xml:space="preserve">   Card exposure at default (drawn + 10% CCF x undrawn)</t>
  </si>
  <si>
    <t xml:space="preserve">   Illustrative card RWA (blended RW x card EAD)</t>
  </si>
  <si>
    <t xml:space="preserve">Illustrative build to document the RW / CCF convention; total RWA above is the case anchor</t>
  </si>
  <si>
    <t xml:space="preserve">   Illustrative card RWA as % of total RWA</t>
  </si>
  <si>
    <t xml:space="preserve">Capital ratios are computed from the CET1 / Tier 1 / Tier 2 and RWA inputs above; no ratio on this tab is hardcoded.</t>
  </si>
  <si>
    <t xml:space="preserve">The card RWA build is illustrative and documents the 45% transactor / 75% revolver risk weights and the 10% CCF on undrawn unconditionally cancellable lines. Total RWA is taken from the case anchor and is not re-derived.</t>
  </si>
  <si>
    <t xml:space="preserve">HARBORVIEW COMMUNITY BANK — KEY RATIOS</t>
  </si>
  <si>
    <t xml:space="preserve">Three-year summary  |  All ratios computed by formula from the statement tabs — no ratio is hardcoded</t>
  </si>
  <si>
    <t xml:space="preserve">INPUTS DRAWN FROM THE STATEMENT TABS</t>
  </si>
  <si>
    <t xml:space="preserve">   Non-interest expense</t>
  </si>
  <si>
    <t xml:space="preserve">   Earning assets</t>
  </si>
  <si>
    <t xml:space="preserve">   Interest-bearing liabilities</t>
  </si>
  <si>
    <t xml:space="preserve">PROFITABILITY</t>
  </si>
  <si>
    <t xml:space="preserve">   Return on equity (ROE)</t>
  </si>
  <si>
    <t xml:space="preserve">Net income / period-end common equity</t>
  </si>
  <si>
    <t xml:space="preserve">   Return on assets (ROA)</t>
  </si>
  <si>
    <t xml:space="preserve">Net income / period-end total assets</t>
  </si>
  <si>
    <t xml:space="preserve">   Return on risk-weighted assets</t>
  </si>
  <si>
    <t xml:space="preserve">MARGIN &amp; FUNDING</t>
  </si>
  <si>
    <t xml:space="preserve">   Yield on earning assets</t>
  </si>
  <si>
    <t xml:space="preserve">   Cost of funds (interest expense / interest-bearing liabilities)</t>
  </si>
  <si>
    <t xml:space="preserve">   Net interest margin (NII / earning assets)</t>
  </si>
  <si>
    <t xml:space="preserve">EFFICIENCY</t>
  </si>
  <si>
    <t xml:space="preserve">   Efficiency ratio (non-interest expense / total revenue)</t>
  </si>
  <si>
    <t xml:space="preserve">   Non-interest expense / total assets</t>
  </si>
  <si>
    <t xml:space="preserve">CREDIT QUALITY</t>
  </si>
  <si>
    <t xml:space="preserve">   Provision for credit losses / net loans</t>
  </si>
  <si>
    <t xml:space="preserve">   Credit card net charge-off rate</t>
  </si>
  <si>
    <t xml:space="preserve">   Credit card 90+ days past due</t>
  </si>
  <si>
    <t xml:space="preserve">   Credit card allowance coverage</t>
  </si>
  <si>
    <t xml:space="preserve">BALANCE SHEET &amp; CAPITAL STRENGTH</t>
  </si>
  <si>
    <t xml:space="preserve">CAPITAL RETURN &amp; VALUATION</t>
  </si>
  <si>
    <t xml:space="preserve">   Dividends &amp; share repurchases (derived)</t>
  </si>
  <si>
    <t xml:space="preserve">Link -&gt; Balance Sheet equity roll-forward</t>
  </si>
  <si>
    <t xml:space="preserve">   Distribution payout ratio</t>
  </si>
  <si>
    <t xml:space="preserve">   Book value (common equity)</t>
  </si>
  <si>
    <t xml:space="preserve">   Case trading multiple (x book value)</t>
  </si>
  <si>
    <t xml:space="preserve">Standalone implied trading multiple per case spec</t>
  </si>
  <si>
    <t xml:space="preserve">   Implied equity value</t>
  </si>
  <si>
    <t xml:space="preserve">Ratio convention: period-end balance-sheet denominators are used throughout, consistent with the FY2025 anchor ratios quoted in the case spec. Earning assets = investment securities plus net loans and receivables; interest-bearing liabilities = total deposits plus wholesale funding.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</si>
</sst>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#,##0;\(#,##0\);\-"/>
    <numFmt numFmtId="167" formatCode="0.0%"/>
    <numFmt numFmtId="168" formatCode="0.00%"/>
    <numFmt numFmtId="169" formatCode="#,##0"/>
    <numFmt numFmtId="170" formatCode="#,##0.000;\(#,##0.000\);\-"/>
    <numFmt numFmtId="171" formatCode="\$#,##0"/>
    <numFmt numFmtId="172" formatCode="#,##0.00;\(#,##0.00\);\-"/>
    <numFmt numFmtId="173" formatCode="#,##0.0;\(#,##0.0\);\-"/>
    <numFmt numFmtId="174" formatCode="0.0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1"/>
      <color rgb="FF833C00"/>
      <name val="Arial"/>
      <family val="0"/>
      <charset val="1"/>
    </font>
    <font>
      <b val="true"/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FFFFF"/>
      </patternFill>
    </fill>
    <fill>
      <patternFill patternType="solid">
        <fgColor rgb="FF2E5C8A"/>
        <bgColor rgb="FF59595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85723"/>
      <rgbColor rgb="FF833C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723"/>
    <pageSetUpPr fitToPage="true"/>
  </sheetPr>
  <dimension ref="A1:E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</row>
    <row r="3" customFormat="false" ht="24" hidden="false" customHeight="true" outlineLevel="0" collapsed="false">
      <c r="A3" s="2" t="s">
        <v>2</v>
      </c>
      <c r="B3" s="2"/>
      <c r="C3" s="2"/>
      <c r="D3" s="2"/>
      <c r="E3" s="2"/>
    </row>
    <row r="5" customFormat="false" ht="21" hidden="false" customHeight="true" outlineLevel="0" collapsed="false">
      <c r="A5" s="3" t="s">
        <v>3</v>
      </c>
      <c r="B5" s="3"/>
      <c r="C5" s="3"/>
      <c r="D5" s="3"/>
      <c r="E5" s="3"/>
    </row>
    <row r="6" customFormat="false" ht="21" hidden="false" customHeight="true" outlineLevel="0" collapsed="false">
      <c r="A6" s="3"/>
      <c r="B6" s="3"/>
      <c r="C6" s="3"/>
      <c r="D6" s="3"/>
      <c r="E6" s="3"/>
    </row>
    <row r="7" customFormat="false" ht="21" hidden="false" customHeight="true" outlineLevel="0" collapsed="false">
      <c r="A7" s="3"/>
      <c r="B7" s="3"/>
      <c r="C7" s="3"/>
      <c r="D7" s="3"/>
      <c r="E7" s="3"/>
    </row>
    <row r="8" customFormat="false" ht="21" hidden="false" customHeight="true" outlineLevel="0" collapsed="false">
      <c r="A8" s="3"/>
      <c r="B8" s="3"/>
      <c r="C8" s="3"/>
      <c r="D8" s="3"/>
      <c r="E8" s="3"/>
    </row>
    <row r="9" customFormat="false" ht="15" hidden="false" customHeight="false" outlineLevel="0" collapsed="false">
      <c r="A9" s="4" t="s">
        <v>4</v>
      </c>
      <c r="B9" s="5" t="s">
        <v>5</v>
      </c>
      <c r="C9" s="5" t="s">
        <v>6</v>
      </c>
      <c r="D9" s="5" t="s">
        <v>7</v>
      </c>
      <c r="E9" s="6" t="s">
        <v>8</v>
      </c>
    </row>
    <row r="10" customFormat="false" ht="16.5" hidden="false" customHeight="true" outlineLevel="0" collapsed="false">
      <c r="A10" s="7" t="s">
        <v>9</v>
      </c>
      <c r="B10" s="8"/>
      <c r="C10" s="8"/>
      <c r="D10" s="8"/>
      <c r="E10" s="8"/>
    </row>
    <row r="11" customFormat="false" ht="15" hidden="false" customHeight="false" outlineLevel="0" collapsed="false">
      <c r="A11" s="9" t="s">
        <v>10</v>
      </c>
      <c r="B11" s="10" t="n">
        <f aca="false">'Balance Sheet'!B14</f>
        <v>9329</v>
      </c>
      <c r="C11" s="10" t="n">
        <f aca="false">'Balance Sheet'!C14</f>
        <v>9557</v>
      </c>
      <c r="D11" s="11" t="n">
        <f aca="false">'Balance Sheet'!D14</f>
        <v>9800</v>
      </c>
      <c r="E11" s="12" t="s">
        <v>11</v>
      </c>
    </row>
    <row r="12" customFormat="false" ht="15" hidden="false" customHeight="false" outlineLevel="0" collapsed="false">
      <c r="A12" s="9" t="s">
        <v>12</v>
      </c>
      <c r="B12" s="13" t="n">
        <f aca="false">'Balance Sheet'!B12</f>
        <v>6960</v>
      </c>
      <c r="C12" s="13" t="n">
        <f aca="false">'Balance Sheet'!C12</f>
        <v>7144</v>
      </c>
      <c r="D12" s="14" t="n">
        <f aca="false">'Balance Sheet'!D12</f>
        <v>7330</v>
      </c>
    </row>
    <row r="13" customFormat="false" ht="15" hidden="false" customHeight="false" outlineLevel="0" collapsed="false">
      <c r="A13" s="9" t="s">
        <v>13</v>
      </c>
      <c r="B13" s="13" t="n">
        <f aca="false">'Balance Sheet'!B19</f>
        <v>7820</v>
      </c>
      <c r="C13" s="13" t="n">
        <f aca="false">'Balance Sheet'!C19</f>
        <v>8005</v>
      </c>
      <c r="D13" s="14" t="n">
        <f aca="false">'Balance Sheet'!D19</f>
        <v>8200</v>
      </c>
    </row>
    <row r="14" customFormat="false" ht="15" hidden="false" customHeight="false" outlineLevel="0" collapsed="false">
      <c r="A14" s="9" t="s">
        <v>14</v>
      </c>
      <c r="B14" s="13" t="n">
        <f aca="false">'Balance Sheet'!B23</f>
        <v>739</v>
      </c>
      <c r="C14" s="13" t="n">
        <f aca="false">'Balance Sheet'!C23</f>
        <v>767</v>
      </c>
      <c r="D14" s="14" t="n">
        <f aca="false">'Balance Sheet'!D23</f>
        <v>800</v>
      </c>
    </row>
    <row r="15" customFormat="false" ht="16.5" hidden="false" customHeight="true" outlineLevel="0" collapsed="false">
      <c r="A15" s="7" t="s">
        <v>15</v>
      </c>
      <c r="B15" s="8"/>
      <c r="C15" s="8"/>
      <c r="D15" s="8"/>
      <c r="E15" s="8"/>
    </row>
    <row r="16" customFormat="false" ht="15" hidden="false" customHeight="false" outlineLevel="0" collapsed="false">
      <c r="A16" s="9" t="s">
        <v>16</v>
      </c>
      <c r="B16" s="13" t="n">
        <f aca="false">'Income Statement'!B15</f>
        <v>287</v>
      </c>
      <c r="C16" s="13" t="n">
        <f aca="false">'Income Statement'!C15</f>
        <v>298</v>
      </c>
      <c r="D16" s="14" t="n">
        <f aca="false">'Income Statement'!D15</f>
        <v>309</v>
      </c>
    </row>
    <row r="17" customFormat="false" ht="15" hidden="false" customHeight="false" outlineLevel="0" collapsed="false">
      <c r="A17" s="9" t="s">
        <v>17</v>
      </c>
      <c r="B17" s="13" t="n">
        <f aca="false">'Income Statement'!B18</f>
        <v>12</v>
      </c>
      <c r="C17" s="13" t="n">
        <f aca="false">'Income Statement'!C18</f>
        <v>13</v>
      </c>
      <c r="D17" s="14" t="n">
        <f aca="false">'Income Statement'!D18</f>
        <v>14</v>
      </c>
    </row>
    <row r="18" customFormat="false" ht="15" hidden="false" customHeight="false" outlineLevel="0" collapsed="false">
      <c r="A18" s="9" t="s">
        <v>18</v>
      </c>
      <c r="B18" s="10" t="n">
        <f aca="false">'Income Statement'!B23</f>
        <v>68</v>
      </c>
      <c r="C18" s="10" t="n">
        <f aca="false">'Income Statement'!C23</f>
        <v>71</v>
      </c>
      <c r="D18" s="11" t="n">
        <f aca="false">'Income Statement'!D23</f>
        <v>74</v>
      </c>
      <c r="E18" s="12" t="s">
        <v>19</v>
      </c>
    </row>
    <row r="19" customFormat="false" ht="15" hidden="false" customHeight="false" outlineLevel="0" collapsed="false">
      <c r="A19" s="9" t="s">
        <v>20</v>
      </c>
      <c r="B19" s="15" t="n">
        <f aca="false">'Key Ratios'!B23</f>
        <v>0.0920162381596752</v>
      </c>
      <c r="C19" s="15" t="n">
        <f aca="false">'Key Ratios'!C23</f>
        <v>0.0925684485006519</v>
      </c>
      <c r="D19" s="16" t="n">
        <f aca="false">'Key Ratios'!D23</f>
        <v>0.0925</v>
      </c>
    </row>
    <row r="20" customFormat="false" ht="15" hidden="false" customHeight="false" outlineLevel="0" collapsed="false">
      <c r="A20" s="9" t="s">
        <v>21</v>
      </c>
      <c r="B20" s="17" t="n">
        <f aca="false">'Key Ratios'!B24</f>
        <v>0.00728909851002251</v>
      </c>
      <c r="C20" s="17" t="n">
        <f aca="false">'Key Ratios'!C24</f>
        <v>0.00742910955320707</v>
      </c>
      <c r="D20" s="18" t="n">
        <f aca="false">'Key Ratios'!D24</f>
        <v>0.00755102040816327</v>
      </c>
    </row>
    <row r="21" customFormat="false" ht="15" hidden="false" customHeight="false" outlineLevel="0" collapsed="false">
      <c r="A21" s="9" t="s">
        <v>22</v>
      </c>
      <c r="B21" s="17" t="n">
        <f aca="false">'Key Ratios'!B30</f>
        <v>0.0271345029239766</v>
      </c>
      <c r="C21" s="17" t="n">
        <f aca="false">'Key Ratios'!C30</f>
        <v>0.0275051358137412</v>
      </c>
      <c r="D21" s="18" t="n">
        <f aca="false">'Key Ratios'!D30</f>
        <v>0.0278396436525613</v>
      </c>
    </row>
    <row r="22" customFormat="false" ht="15" hidden="false" customHeight="false" outlineLevel="0" collapsed="false">
      <c r="A22" s="9" t="s">
        <v>23</v>
      </c>
      <c r="B22" s="15" t="n">
        <f aca="false">'Key Ratios'!B33</f>
        <v>0.637630662020906</v>
      </c>
      <c r="C22" s="15" t="n">
        <f aca="false">'Key Ratios'!C33</f>
        <v>0.634228187919463</v>
      </c>
      <c r="D22" s="16" t="n">
        <f aca="false">'Key Ratios'!D33</f>
        <v>0.631067961165049</v>
      </c>
    </row>
    <row r="23" customFormat="false" ht="16.5" hidden="false" customHeight="true" outlineLevel="0" collapsed="false">
      <c r="A23" s="7" t="s">
        <v>24</v>
      </c>
      <c r="B23" s="8"/>
      <c r="C23" s="8"/>
      <c r="D23" s="8"/>
      <c r="E23" s="8"/>
    </row>
    <row r="24" customFormat="false" ht="15" hidden="false" customHeight="false" outlineLevel="0" collapsed="false">
      <c r="A24" s="9" t="s">
        <v>25</v>
      </c>
      <c r="B24" s="13" t="n">
        <f aca="false">'Capital &amp; Regulatory Ratios'!B6</f>
        <v>703</v>
      </c>
      <c r="C24" s="13" t="n">
        <f aca="false">'Capital &amp; Regulatory Ratios'!C6</f>
        <v>729</v>
      </c>
      <c r="D24" s="14" t="n">
        <f aca="false">'Capital &amp; Regulatory Ratios'!D6</f>
        <v>760</v>
      </c>
    </row>
    <row r="25" customFormat="false" ht="15" hidden="false" customHeight="false" outlineLevel="0" collapsed="false">
      <c r="A25" s="9" t="s">
        <v>26</v>
      </c>
      <c r="B25" s="13" t="n">
        <f aca="false">'Capital &amp; Regulatory Ratios'!B15</f>
        <v>4235</v>
      </c>
      <c r="C25" s="13" t="n">
        <f aca="false">'Capital &amp; Regulatory Ratios'!C15</f>
        <v>4340</v>
      </c>
      <c r="D25" s="14" t="n">
        <f aca="false">'Capital &amp; Regulatory Ratios'!D15</f>
        <v>4450</v>
      </c>
    </row>
    <row r="26" customFormat="false" ht="15" hidden="false" customHeight="false" outlineLevel="0" collapsed="false">
      <c r="A26" s="9" t="s">
        <v>27</v>
      </c>
      <c r="B26" s="17" t="n">
        <f aca="false">'Capital &amp; Regulatory Ratios'!B24</f>
        <v>0.165997638724911</v>
      </c>
      <c r="C26" s="17" t="n">
        <f aca="false">'Capital &amp; Regulatory Ratios'!C24</f>
        <v>0.167972350230415</v>
      </c>
      <c r="D26" s="18" t="n">
        <f aca="false">'Capital &amp; Regulatory Ratios'!D24</f>
        <v>0.170786516853933</v>
      </c>
      <c r="E26" s="12" t="s">
        <v>28</v>
      </c>
    </row>
    <row r="27" customFormat="false" ht="15" hidden="false" customHeight="false" outlineLevel="0" collapsed="false">
      <c r="A27" s="9" t="s">
        <v>29</v>
      </c>
      <c r="B27" s="17" t="n">
        <f aca="false">'Capital &amp; Regulatory Ratios'!B27</f>
        <v>0.0801800836102476</v>
      </c>
      <c r="C27" s="17" t="n">
        <f aca="false">'Capital &amp; Regulatory Ratios'!C27</f>
        <v>0.0809877576645391</v>
      </c>
      <c r="D27" s="18" t="n">
        <f aca="false">'Capital &amp; Regulatory Ratios'!D27</f>
        <v>0.0821428571428571</v>
      </c>
    </row>
    <row r="28" customFormat="false" ht="16.5" hidden="false" customHeight="true" outlineLevel="0" collapsed="false">
      <c r="A28" s="7" t="s">
        <v>30</v>
      </c>
      <c r="B28" s="8"/>
      <c r="C28" s="8"/>
      <c r="D28" s="8"/>
      <c r="E28" s="8"/>
    </row>
    <row r="29" customFormat="false" ht="15" hidden="false" customHeight="false" outlineLevel="0" collapsed="false">
      <c r="A29" s="9" t="s">
        <v>31</v>
      </c>
      <c r="B29" s="19" t="n">
        <f aca="false">'Credit Card Portfolio Detail'!B6</f>
        <v>137000</v>
      </c>
      <c r="C29" s="19" t="n">
        <f aca="false">'Credit Card Portfolio Detail'!C6</f>
        <v>141000</v>
      </c>
      <c r="D29" s="20" t="n">
        <f aca="false">'Credit Card Portfolio Detail'!D6</f>
        <v>145000</v>
      </c>
    </row>
    <row r="30" customFormat="false" ht="15" hidden="false" customHeight="false" outlineLevel="0" collapsed="false">
      <c r="A30" s="9" t="s">
        <v>32</v>
      </c>
      <c r="B30" s="13" t="n">
        <f aca="false">'Credit Card Portfolio Detail'!B7</f>
        <v>328</v>
      </c>
      <c r="C30" s="13" t="n">
        <f aca="false">'Credit Card Portfolio Detail'!C7</f>
        <v>341</v>
      </c>
      <c r="D30" s="14" t="n">
        <f aca="false">'Credit Card Portfolio Detail'!D7</f>
        <v>355</v>
      </c>
      <c r="E30" s="12" t="s">
        <v>33</v>
      </c>
    </row>
    <row r="31" customFormat="false" ht="15" hidden="false" customHeight="false" outlineLevel="0" collapsed="false">
      <c r="A31" s="9" t="s">
        <v>34</v>
      </c>
      <c r="B31" s="13" t="n">
        <f aca="false">'Credit Card Portfolio Detail'!B18</f>
        <v>1240</v>
      </c>
      <c r="C31" s="13" t="n">
        <f aca="false">'Credit Card Portfolio Detail'!C18</f>
        <v>1300</v>
      </c>
      <c r="D31" s="14" t="n">
        <f aca="false">'Credit Card Portfolio Detail'!D18</f>
        <v>1350</v>
      </c>
    </row>
    <row r="32" customFormat="false" ht="15" hidden="false" customHeight="false" outlineLevel="0" collapsed="false">
      <c r="A32" s="9" t="s">
        <v>35</v>
      </c>
      <c r="B32" s="17" t="n">
        <f aca="false">'Credit Card Portfolio Detail'!B23</f>
        <v>0.1999</v>
      </c>
      <c r="C32" s="17" t="n">
        <f aca="false">'Credit Card Portfolio Detail'!C23</f>
        <v>0.1999</v>
      </c>
      <c r="D32" s="18" t="n">
        <f aca="false">'Credit Card Portfolio Detail'!D23</f>
        <v>0.1999</v>
      </c>
    </row>
    <row r="33" customFormat="false" ht="15" hidden="false" customHeight="false" outlineLevel="0" collapsed="false">
      <c r="A33" s="9" t="s">
        <v>36</v>
      </c>
      <c r="B33" s="17" t="n">
        <f aca="false">'Credit Card Portfolio Detail'!B27</f>
        <v>0.0055</v>
      </c>
      <c r="C33" s="17" t="n">
        <f aca="false">'Credit Card Portfolio Detail'!C27</f>
        <v>0.0052</v>
      </c>
      <c r="D33" s="18" t="n">
        <f aca="false">'Credit Card Portfolio Detail'!D27</f>
        <v>0.005</v>
      </c>
    </row>
    <row r="34" customFormat="false" ht="15" hidden="false" customHeight="false" outlineLevel="0" collapsed="false">
      <c r="A34" s="9" t="s">
        <v>37</v>
      </c>
      <c r="B34" s="17" t="n">
        <f aca="false">'Credit Card Portfolio Detail'!B29</f>
        <v>0.013</v>
      </c>
      <c r="C34" s="17" t="n">
        <f aca="false">'Credit Card Portfolio Detail'!C29</f>
        <v>0.0125</v>
      </c>
      <c r="D34" s="18" t="n">
        <f aca="false">'Credit Card Portfolio Detail'!D29</f>
        <v>0.012</v>
      </c>
    </row>
    <row r="35" customFormat="false" ht="15" hidden="false" customHeight="false" outlineLevel="0" collapsed="false">
      <c r="A35" s="9" t="s">
        <v>38</v>
      </c>
      <c r="B35" s="17" t="n">
        <f aca="false">'Credit Card Portfolio Detail'!B10</f>
        <v>0.0426829268292683</v>
      </c>
      <c r="C35" s="17" t="n">
        <f aca="false">'Credit Card Portfolio Detail'!C10</f>
        <v>0.0410557184750733</v>
      </c>
      <c r="D35" s="18" t="n">
        <f aca="false">'Credit Card Portfolio Detail'!D10</f>
        <v>0.0422535211267606</v>
      </c>
    </row>
    <row r="37" customFormat="false" ht="16.5" hidden="false" customHeight="true" outlineLevel="0" collapsed="false">
      <c r="A37" s="7" t="s">
        <v>39</v>
      </c>
      <c r="B37" s="8"/>
      <c r="C37" s="8"/>
      <c r="D37" s="8"/>
      <c r="E37" s="8"/>
    </row>
    <row r="38" customFormat="false" ht="15" hidden="false" customHeight="false" outlineLevel="0" collapsed="false">
      <c r="A38" s="21" t="s">
        <v>40</v>
      </c>
      <c r="B38" s="22" t="n">
        <f aca="false">'Balance Sheet'!B25</f>
        <v>0</v>
      </c>
      <c r="C38" s="22" t="n">
        <f aca="false">'Balance Sheet'!C25</f>
        <v>0</v>
      </c>
      <c r="D38" s="22" t="n">
        <f aca="false">'Balance Sheet'!D25</f>
        <v>0</v>
      </c>
      <c r="E38" s="23" t="str">
        <f aca="false">IF(AND(ABS(B38)&lt;0.01,ABS(C38)&lt;0.01,ABS(D38)&lt;0.01),"BALANCED - OK","*** DOES NOT BALANCE ***")</f>
        <v>BALANCED - OK</v>
      </c>
    </row>
    <row r="39" customFormat="false" ht="15" hidden="false" customHeight="false" outlineLevel="0" collapsed="false">
      <c r="A39" s="21" t="s">
        <v>41</v>
      </c>
      <c r="B39" s="22" t="n">
        <f aca="false">'Income Statement'!B24</f>
        <v>0</v>
      </c>
      <c r="C39" s="22" t="n">
        <f aca="false">'Income Statement'!C24</f>
        <v>0</v>
      </c>
      <c r="D39" s="22" t="n">
        <f aca="false">'Income Statement'!D24</f>
        <v>0</v>
      </c>
      <c r="E39" s="23" t="str">
        <f aca="false">IF(AND(ABS(B39)&lt;0.01,ABS(C39)&lt;0.01,ABS(D39)&lt;0.01),"TIES OUT - OK","*** DOES NOT TIE ***")</f>
        <v>TIES OUT - OK</v>
      </c>
    </row>
    <row r="40" customFormat="false" ht="15" hidden="false" customHeight="false" outlineLevel="0" collapsed="false">
      <c r="A40" s="21" t="s">
        <v>42</v>
      </c>
      <c r="B40" s="22" t="n">
        <f aca="false">'Balance Sheet'!B32</f>
        <v>0</v>
      </c>
      <c r="C40" s="22" t="n">
        <f aca="false">'Balance Sheet'!C32</f>
        <v>0</v>
      </c>
      <c r="D40" s="22" t="n">
        <f aca="false">'Balance Sheet'!D32</f>
        <v>0</v>
      </c>
      <c r="E40" s="23" t="str">
        <f aca="false">IF(AND(ABS(B40)&lt;0.01,ABS(C40)&lt;0.01,ABS(D40)&lt;0.01),"TIES - OK","*** CHECK ***")</f>
        <v>TIES - OK</v>
      </c>
    </row>
    <row r="41" customFormat="false" ht="15" hidden="false" customHeight="false" outlineLevel="0" collapsed="false">
      <c r="A41" s="21" t="s">
        <v>43</v>
      </c>
      <c r="B41" s="22" t="n">
        <f aca="false">'Balance Sheet'!B37</f>
        <v>0</v>
      </c>
      <c r="C41" s="22" t="n">
        <f aca="false">'Balance Sheet'!C37</f>
        <v>0</v>
      </c>
      <c r="D41" s="22" t="n">
        <f aca="false">'Balance Sheet'!D37</f>
        <v>0</v>
      </c>
      <c r="E41" s="23" t="str">
        <f aca="false">IF(AND(ABS(B41)&lt;0.01,ABS(C41)&lt;0.01,ABS(D41)&lt;0.01),"TIES - OK","*** CHECK ***")</f>
        <v>TIES - OK</v>
      </c>
    </row>
    <row r="42" customFormat="false" ht="15" hidden="false" customHeight="false" outlineLevel="0" collapsed="false">
      <c r="A42" s="21" t="s">
        <v>44</v>
      </c>
      <c r="B42" s="22" t="n">
        <f aca="false">'Credit Card Portfolio Detail'!B41</f>
        <v>0</v>
      </c>
      <c r="C42" s="22" t="n">
        <f aca="false">'Credit Card Portfolio Detail'!C41</f>
        <v>0</v>
      </c>
      <c r="D42" s="22" t="n">
        <f aca="false">'Credit Card Portfolio Detail'!D41</f>
        <v>0</v>
      </c>
      <c r="E42" s="23" t="str">
        <f aca="false">IF(AND(ABS(B42)&lt;0.0001,ABS(C42)&lt;0.0001,ABS(D42)&lt;0.0001),"SUMS TO 100% - OK","*** CHECK ***")</f>
        <v>SUMS TO 100% - OK</v>
      </c>
    </row>
    <row r="43" customFormat="false" ht="15" hidden="false" customHeight="false" outlineLevel="0" collapsed="false">
      <c r="A43" s="21" t="s">
        <v>45</v>
      </c>
      <c r="B43" s="22" t="n">
        <f aca="false">'Credit Card Portfolio Detail'!B22-'Income Statement'!B11</f>
        <v>0</v>
      </c>
      <c r="C43" s="22" t="n">
        <f aca="false">'Credit Card Portfolio Detail'!C22-'Income Statement'!C11</f>
        <v>0</v>
      </c>
      <c r="D43" s="22" t="n">
        <f aca="false">'Credit Card Portfolio Detail'!D22-'Income Statement'!D11</f>
        <v>0</v>
      </c>
      <c r="E43" s="23" t="str">
        <f aca="false">IF(AND(ABS(B43)&lt;0.01,ABS(C43)&lt;0.01,ABS(D43)&lt;0.01),"TIES - OK","*** CHECK ***")</f>
        <v>TIES - OK</v>
      </c>
    </row>
    <row r="45" customFormat="false" ht="16.5" hidden="false" customHeight="true" outlineLevel="0" collapsed="false">
      <c r="A45" s="7" t="s">
        <v>46</v>
      </c>
      <c r="B45" s="8"/>
      <c r="C45" s="8"/>
      <c r="D45" s="8"/>
      <c r="E45" s="8"/>
    </row>
    <row r="46" customFormat="false" ht="24" hidden="false" customHeight="true" outlineLevel="0" collapsed="false">
      <c r="A46" s="24" t="s">
        <v>47</v>
      </c>
      <c r="B46" s="24"/>
      <c r="C46" s="24"/>
      <c r="D46" s="24"/>
      <c r="E46" s="24"/>
    </row>
    <row r="47" customFormat="false" ht="24" hidden="false" customHeight="true" outlineLevel="0" collapsed="false">
      <c r="A47" s="24" t="s">
        <v>48</v>
      </c>
      <c r="B47" s="24"/>
      <c r="C47" s="24"/>
      <c r="D47" s="24"/>
      <c r="E47" s="24"/>
    </row>
    <row r="48" customFormat="false" ht="24" hidden="false" customHeight="true" outlineLevel="0" collapsed="false">
      <c r="A48" s="24" t="s">
        <v>49</v>
      </c>
      <c r="B48" s="24"/>
      <c r="C48" s="24"/>
      <c r="D48" s="24"/>
      <c r="E48" s="24"/>
    </row>
    <row r="49" customFormat="false" ht="24" hidden="false" customHeight="true" outlineLevel="0" collapsed="false">
      <c r="A49" s="24" t="s">
        <v>50</v>
      </c>
      <c r="B49" s="24"/>
      <c r="C49" s="24"/>
      <c r="D49" s="24"/>
      <c r="E49" s="24"/>
    </row>
    <row r="50" customFormat="false" ht="24" hidden="false" customHeight="true" outlineLevel="0" collapsed="false">
      <c r="A50" s="24" t="s">
        <v>51</v>
      </c>
      <c r="B50" s="24"/>
      <c r="C50" s="24"/>
      <c r="D50" s="24"/>
      <c r="E50" s="24"/>
    </row>
    <row r="51" customFormat="false" ht="24" hidden="false" customHeight="true" outlineLevel="0" collapsed="false">
      <c r="A51" s="24" t="s">
        <v>52</v>
      </c>
      <c r="B51" s="24"/>
      <c r="C51" s="24"/>
      <c r="D51" s="24"/>
      <c r="E51" s="24"/>
    </row>
    <row r="52" customFormat="false" ht="12.75" hidden="false" customHeight="true" outlineLevel="0" collapsed="false">
      <c r="A52" s="24" t="s">
        <v>53</v>
      </c>
      <c r="B52" s="24"/>
      <c r="C52" s="24"/>
      <c r="D52" s="24"/>
      <c r="E52" s="24"/>
    </row>
  </sheetData>
  <mergeCells count="11">
    <mergeCell ref="A1:E1"/>
    <mergeCell ref="A2:E2"/>
    <mergeCell ref="A3:E3"/>
    <mergeCell ref="A5:E8"/>
    <mergeCell ref="A46:E46"/>
    <mergeCell ref="A47:E47"/>
    <mergeCell ref="A48:E48"/>
    <mergeCell ref="A49:E49"/>
    <mergeCell ref="A50:E50"/>
    <mergeCell ref="A51:E51"/>
    <mergeCell ref="A52:E52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723"/>
    <pageSetUpPr fitToPage="tru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54</v>
      </c>
      <c r="B1" s="1"/>
      <c r="C1" s="1"/>
      <c r="D1" s="1"/>
      <c r="E1" s="1"/>
    </row>
    <row r="2" customFormat="false" ht="15" hidden="false" customHeight="true" outlineLevel="0" collapsed="false">
      <c r="A2" s="2" t="s">
        <v>55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56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57</v>
      </c>
      <c r="B5" s="8"/>
      <c r="C5" s="8"/>
      <c r="D5" s="8"/>
      <c r="E5" s="8"/>
    </row>
    <row r="6" customFormat="false" ht="15" hidden="false" customHeight="false" outlineLevel="0" collapsed="false">
      <c r="A6" s="9" t="s">
        <v>58</v>
      </c>
      <c r="B6" s="25" t="n">
        <v>495</v>
      </c>
      <c r="C6" s="25" t="n">
        <v>505</v>
      </c>
      <c r="D6" s="25" t="n">
        <v>520</v>
      </c>
    </row>
    <row r="7" customFormat="false" ht="15" hidden="false" customHeight="false" outlineLevel="0" collapsed="false">
      <c r="A7" s="9" t="s">
        <v>59</v>
      </c>
      <c r="B7" s="25" t="n">
        <v>1590</v>
      </c>
      <c r="C7" s="25" t="n">
        <v>1618</v>
      </c>
      <c r="D7" s="25" t="n">
        <v>1650</v>
      </c>
    </row>
    <row r="8" customFormat="false" ht="15" hidden="false" customHeight="false" outlineLevel="0" collapsed="false">
      <c r="A8" s="9" t="s">
        <v>60</v>
      </c>
      <c r="B8" s="25" t="n">
        <v>4675</v>
      </c>
      <c r="C8" s="25" t="n">
        <v>4790</v>
      </c>
      <c r="D8" s="25" t="n">
        <v>4900</v>
      </c>
    </row>
    <row r="9" customFormat="false" ht="15" hidden="false" customHeight="false" outlineLevel="0" collapsed="false">
      <c r="A9" s="9" t="s">
        <v>61</v>
      </c>
      <c r="B9" s="25" t="n">
        <v>1375</v>
      </c>
      <c r="C9" s="25" t="n">
        <v>1412</v>
      </c>
      <c r="D9" s="25" t="n">
        <v>1450</v>
      </c>
    </row>
    <row r="10" customFormat="false" ht="15" hidden="false" customHeight="false" outlineLevel="0" collapsed="false">
      <c r="A10" s="9" t="s">
        <v>62</v>
      </c>
      <c r="B10" s="25" t="n">
        <v>314</v>
      </c>
      <c r="C10" s="25" t="n">
        <v>327</v>
      </c>
      <c r="D10" s="25" t="n">
        <v>340</v>
      </c>
    </row>
    <row r="11" customFormat="false" ht="15" hidden="false" customHeight="false" outlineLevel="0" collapsed="false">
      <c r="A11" s="9" t="s">
        <v>63</v>
      </c>
      <c r="B11" s="25" t="n">
        <v>596</v>
      </c>
      <c r="C11" s="25" t="n">
        <v>615</v>
      </c>
      <c r="D11" s="25" t="n">
        <v>640</v>
      </c>
    </row>
    <row r="12" customFormat="false" ht="15" hidden="false" customHeight="false" outlineLevel="0" collapsed="false">
      <c r="A12" s="26" t="s">
        <v>12</v>
      </c>
      <c r="B12" s="27" t="n">
        <f aca="false">B8+B9+B10+B11</f>
        <v>6960</v>
      </c>
      <c r="C12" s="27" t="n">
        <f aca="false">C8+C9+C10+C11</f>
        <v>7144</v>
      </c>
      <c r="D12" s="27" t="n">
        <f aca="false">D8+D9+D10+D11</f>
        <v>7330</v>
      </c>
      <c r="E12" s="12" t="s">
        <v>64</v>
      </c>
    </row>
    <row r="13" customFormat="false" ht="15" hidden="false" customHeight="false" outlineLevel="0" collapsed="false">
      <c r="A13" s="9" t="s">
        <v>65</v>
      </c>
      <c r="B13" s="25" t="n">
        <v>284</v>
      </c>
      <c r="C13" s="25" t="n">
        <v>290</v>
      </c>
      <c r="D13" s="25" t="n">
        <v>300</v>
      </c>
    </row>
    <row r="14" customFormat="false" ht="15" hidden="false" customHeight="false" outlineLevel="0" collapsed="false">
      <c r="A14" s="28" t="s">
        <v>66</v>
      </c>
      <c r="B14" s="29" t="n">
        <f aca="false">B6+B7+B8+B9+B10+B11+B13</f>
        <v>9329</v>
      </c>
      <c r="C14" s="29" t="n">
        <f aca="false">C6+C7+C8+C9+C10+C11+C13</f>
        <v>9557</v>
      </c>
      <c r="D14" s="29" t="n">
        <f aca="false">D6+D7+D8+D9+D10+D11+D13</f>
        <v>9800</v>
      </c>
      <c r="E14" s="12" t="s">
        <v>67</v>
      </c>
    </row>
    <row r="16" customFormat="false" ht="16.5" hidden="false" customHeight="true" outlineLevel="0" collapsed="false">
      <c r="A16" s="7" t="s">
        <v>68</v>
      </c>
      <c r="B16" s="8"/>
      <c r="C16" s="8"/>
      <c r="D16" s="8"/>
      <c r="E16" s="8"/>
    </row>
    <row r="17" customFormat="false" ht="15" hidden="false" customHeight="false" outlineLevel="0" collapsed="false">
      <c r="A17" s="9" t="s">
        <v>69</v>
      </c>
      <c r="B17" s="25" t="n">
        <v>6000</v>
      </c>
      <c r="C17" s="25" t="n">
        <v>6150</v>
      </c>
      <c r="D17" s="25" t="n">
        <v>6300</v>
      </c>
    </row>
    <row r="18" customFormat="false" ht="15" hidden="false" customHeight="false" outlineLevel="0" collapsed="false">
      <c r="A18" s="9" t="s">
        <v>70</v>
      </c>
      <c r="B18" s="25" t="n">
        <v>1820</v>
      </c>
      <c r="C18" s="25" t="n">
        <v>1855</v>
      </c>
      <c r="D18" s="25" t="n">
        <v>1900</v>
      </c>
    </row>
    <row r="19" customFormat="false" ht="15" hidden="false" customHeight="false" outlineLevel="0" collapsed="false">
      <c r="A19" s="26" t="s">
        <v>13</v>
      </c>
      <c r="B19" s="27" t="n">
        <f aca="false">B17+B18</f>
        <v>7820</v>
      </c>
      <c r="C19" s="27" t="n">
        <f aca="false">C17+C18</f>
        <v>8005</v>
      </c>
      <c r="D19" s="27" t="n">
        <f aca="false">D17+D18</f>
        <v>8200</v>
      </c>
      <c r="E19" s="12" t="s">
        <v>71</v>
      </c>
    </row>
    <row r="20" customFormat="false" ht="15" hidden="false" customHeight="false" outlineLevel="0" collapsed="false">
      <c r="A20" s="9" t="s">
        <v>72</v>
      </c>
      <c r="B20" s="25" t="n">
        <v>530</v>
      </c>
      <c r="C20" s="25" t="n">
        <v>540</v>
      </c>
      <c r="D20" s="25" t="n">
        <v>550</v>
      </c>
    </row>
    <row r="21" customFormat="false" ht="15" hidden="false" customHeight="false" outlineLevel="0" collapsed="false">
      <c r="A21" s="9" t="s">
        <v>73</v>
      </c>
      <c r="B21" s="25" t="n">
        <v>240</v>
      </c>
      <c r="C21" s="25" t="n">
        <v>245</v>
      </c>
      <c r="D21" s="25" t="n">
        <v>250</v>
      </c>
    </row>
    <row r="22" customFormat="false" ht="15" hidden="false" customHeight="false" outlineLevel="0" collapsed="false">
      <c r="A22" s="26" t="s">
        <v>74</v>
      </c>
      <c r="B22" s="27" t="n">
        <f aca="false">B19+B20+B21</f>
        <v>8590</v>
      </c>
      <c r="C22" s="27" t="n">
        <f aca="false">C19+C20+C21</f>
        <v>8790</v>
      </c>
      <c r="D22" s="27" t="n">
        <f aca="false">D19+D20+D21</f>
        <v>9000</v>
      </c>
    </row>
    <row r="23" customFormat="false" ht="15" hidden="false" customHeight="false" outlineLevel="0" collapsed="false">
      <c r="A23" s="9" t="s">
        <v>14</v>
      </c>
      <c r="B23" s="25" t="n">
        <v>739</v>
      </c>
      <c r="C23" s="25" t="n">
        <v>767</v>
      </c>
      <c r="D23" s="25" t="n">
        <v>800</v>
      </c>
    </row>
    <row r="24" customFormat="false" ht="15" hidden="false" customHeight="false" outlineLevel="0" collapsed="false">
      <c r="A24" s="28" t="s">
        <v>75</v>
      </c>
      <c r="B24" s="29" t="n">
        <f aca="false">B22+B23</f>
        <v>9329</v>
      </c>
      <c r="C24" s="29" t="n">
        <f aca="false">C22+C23</f>
        <v>9557</v>
      </c>
      <c r="D24" s="29" t="n">
        <f aca="false">D22+D23</f>
        <v>9800</v>
      </c>
    </row>
    <row r="25" customFormat="false" ht="15" hidden="false" customHeight="false" outlineLevel="0" collapsed="false">
      <c r="A25" s="21" t="s">
        <v>76</v>
      </c>
      <c r="B25" s="22" t="n">
        <f aca="false">B14-B24</f>
        <v>0</v>
      </c>
      <c r="C25" s="22" t="n">
        <f aca="false">C14-C24</f>
        <v>0</v>
      </c>
      <c r="D25" s="22" t="n">
        <f aca="false">D14-D24</f>
        <v>0</v>
      </c>
      <c r="E25" s="23" t="str">
        <f aca="false">IF(AND(ABS(B25)&lt;0.01,ABS(C25)&lt;0.01,ABS(D25)&lt;0.01),"BALANCED - OK","*** DOES NOT BALANCE ***")</f>
        <v>BALANCED - OK</v>
      </c>
    </row>
    <row r="27" customFormat="false" ht="16.5" hidden="false" customHeight="true" outlineLevel="0" collapsed="false">
      <c r="A27" s="7" t="s">
        <v>77</v>
      </c>
      <c r="B27" s="8"/>
      <c r="C27" s="8"/>
      <c r="D27" s="8"/>
      <c r="E27" s="8"/>
    </row>
    <row r="28" customFormat="false" ht="15" hidden="false" customHeight="false" outlineLevel="0" collapsed="false">
      <c r="A28" s="9" t="s">
        <v>78</v>
      </c>
      <c r="B28" s="25" t="n">
        <v>715</v>
      </c>
      <c r="C28" s="30" t="n">
        <f aca="false">B23</f>
        <v>739</v>
      </c>
      <c r="D28" s="30" t="n">
        <f aca="false">C23</f>
        <v>767</v>
      </c>
      <c r="E28" s="12" t="s">
        <v>79</v>
      </c>
    </row>
    <row r="29" customFormat="false" ht="15" hidden="false" customHeight="false" outlineLevel="0" collapsed="false">
      <c r="A29" s="9" t="s">
        <v>80</v>
      </c>
      <c r="B29" s="13" t="n">
        <f aca="false">'Income Statement'!B23</f>
        <v>68</v>
      </c>
      <c r="C29" s="13" t="n">
        <f aca="false">'Income Statement'!C23</f>
        <v>71</v>
      </c>
      <c r="D29" s="13" t="n">
        <f aca="false">'Income Statement'!D23</f>
        <v>74</v>
      </c>
      <c r="E29" s="12" t="s">
        <v>19</v>
      </c>
    </row>
    <row r="30" customFormat="false" ht="15" hidden="false" customHeight="false" outlineLevel="0" collapsed="false">
      <c r="A30" s="9" t="s">
        <v>81</v>
      </c>
      <c r="B30" s="30" t="n">
        <f aca="false">-(B28+B29-B23)</f>
        <v>-44</v>
      </c>
      <c r="C30" s="30" t="n">
        <f aca="false">-(C28+C29-C23)</f>
        <v>-43</v>
      </c>
      <c r="D30" s="30" t="n">
        <f aca="false">-(D28+D29-D23)</f>
        <v>-41</v>
      </c>
      <c r="E30" s="12" t="s">
        <v>82</v>
      </c>
    </row>
    <row r="31" customFormat="false" ht="15" hidden="false" customHeight="false" outlineLevel="0" collapsed="false">
      <c r="A31" s="28" t="s">
        <v>83</v>
      </c>
      <c r="B31" s="29" t="n">
        <f aca="false">B28+B29+B30</f>
        <v>739</v>
      </c>
      <c r="C31" s="29" t="n">
        <f aca="false">C28+C29+C30</f>
        <v>767</v>
      </c>
      <c r="D31" s="29" t="n">
        <f aca="false">D28+D29+D30</f>
        <v>800</v>
      </c>
    </row>
    <row r="32" customFormat="false" ht="15" hidden="false" customHeight="false" outlineLevel="0" collapsed="false">
      <c r="A32" s="21" t="s">
        <v>84</v>
      </c>
      <c r="B32" s="22" t="n">
        <f aca="false">B31-B23</f>
        <v>0</v>
      </c>
      <c r="C32" s="22" t="n">
        <f aca="false">C31-C23</f>
        <v>0</v>
      </c>
      <c r="D32" s="22" t="n">
        <f aca="false">D31-D23</f>
        <v>0</v>
      </c>
      <c r="E32" s="23" t="str">
        <f aca="false">IF(AND(ABS(B32)&lt;0.01,ABS(C32)&lt;0.01,ABS(D32)&lt;0.01),"TIES - OK","*** CHECK ***")</f>
        <v>TIES - OK</v>
      </c>
    </row>
    <row r="34" customFormat="false" ht="16.5" hidden="false" customHeight="true" outlineLevel="0" collapsed="false">
      <c r="A34" s="7" t="s">
        <v>85</v>
      </c>
      <c r="B34" s="8"/>
      <c r="C34" s="8"/>
      <c r="D34" s="8"/>
      <c r="E34" s="8"/>
    </row>
    <row r="35" customFormat="false" ht="15" hidden="false" customHeight="false" outlineLevel="0" collapsed="false">
      <c r="A35" s="9" t="s">
        <v>86</v>
      </c>
      <c r="B35" s="13" t="n">
        <f aca="false">'Credit Card Portfolio Detail'!B7</f>
        <v>328</v>
      </c>
      <c r="C35" s="13" t="n">
        <f aca="false">'Credit Card Portfolio Detail'!C7</f>
        <v>341</v>
      </c>
      <c r="D35" s="13" t="n">
        <f aca="false">'Credit Card Portfolio Detail'!D7</f>
        <v>355</v>
      </c>
      <c r="E35" s="12" t="s">
        <v>33</v>
      </c>
    </row>
    <row r="36" customFormat="false" ht="15" hidden="false" customHeight="false" outlineLevel="0" collapsed="false">
      <c r="A36" s="9" t="s">
        <v>87</v>
      </c>
      <c r="B36" s="13" t="n">
        <f aca="false">'Credit Card Portfolio Detail'!B8</f>
        <v>14</v>
      </c>
      <c r="C36" s="13" t="n">
        <f aca="false">'Credit Card Portfolio Detail'!C8</f>
        <v>14</v>
      </c>
      <c r="D36" s="13" t="n">
        <f aca="false">'Credit Card Portfolio Detail'!D8</f>
        <v>15</v>
      </c>
      <c r="E36" s="12" t="s">
        <v>33</v>
      </c>
    </row>
    <row r="37" customFormat="false" ht="15" hidden="false" customHeight="false" outlineLevel="0" collapsed="false">
      <c r="A37" s="9" t="s">
        <v>88</v>
      </c>
      <c r="B37" s="31" t="n">
        <f aca="false">B35-B36-B10</f>
        <v>0</v>
      </c>
      <c r="C37" s="31" t="n">
        <f aca="false">C35-C36-C10</f>
        <v>0</v>
      </c>
      <c r="D37" s="31" t="n">
        <f aca="false">D35-D36-D10</f>
        <v>0</v>
      </c>
      <c r="E37" s="12" t="s">
        <v>89</v>
      </c>
    </row>
    <row r="38" customFormat="false" ht="15" hidden="false" customHeight="false" outlineLevel="0" collapsed="false">
      <c r="A38" s="9" t="s">
        <v>90</v>
      </c>
      <c r="B38" s="30" t="n">
        <f aca="false">B7+B8+B9+B10+B11</f>
        <v>8550</v>
      </c>
      <c r="C38" s="30" t="n">
        <f aca="false">C7+C8+C9+C10+C11</f>
        <v>8762</v>
      </c>
      <c r="D38" s="30" t="n">
        <f aca="false">D7+D8+D9+D10+D11</f>
        <v>8980</v>
      </c>
      <c r="E38" s="12" t="s">
        <v>91</v>
      </c>
    </row>
    <row r="39" customFormat="false" ht="15" hidden="false" customHeight="false" outlineLevel="0" collapsed="false">
      <c r="A39" s="9" t="s">
        <v>92</v>
      </c>
      <c r="B39" s="30" t="n">
        <f aca="false">B19+B20</f>
        <v>8350</v>
      </c>
      <c r="C39" s="30" t="n">
        <f aca="false">C19+C20</f>
        <v>8545</v>
      </c>
      <c r="D39" s="30" t="n">
        <f aca="false">D19+D20</f>
        <v>8750</v>
      </c>
      <c r="E39" s="12" t="s">
        <v>93</v>
      </c>
    </row>
    <row r="40" customFormat="false" ht="15" hidden="false" customHeight="false" outlineLevel="0" collapsed="false">
      <c r="A40" s="9" t="s">
        <v>94</v>
      </c>
      <c r="B40" s="32" t="n">
        <f aca="false">B12/B19</f>
        <v>0.89002557544757</v>
      </c>
      <c r="C40" s="32" t="n">
        <f aca="false">C12/C19</f>
        <v>0.892442223610244</v>
      </c>
      <c r="D40" s="32" t="n">
        <f aca="false">D12/D19</f>
        <v>0.89390243902439</v>
      </c>
    </row>
    <row r="41" customFormat="false" ht="15" hidden="false" customHeight="false" outlineLevel="0" collapsed="false">
      <c r="A41" s="9" t="s">
        <v>95</v>
      </c>
      <c r="B41" s="32" t="n">
        <f aca="false">B23/B14</f>
        <v>0.0792153499839211</v>
      </c>
      <c r="C41" s="32" t="n">
        <f aca="false">C23/C14</f>
        <v>0.0802553102438004</v>
      </c>
      <c r="D41" s="32" t="n">
        <f aca="false">D23/D14</f>
        <v>0.0816326530612245</v>
      </c>
    </row>
    <row r="43" customFormat="false" ht="12.75" hidden="false" customHeight="true" outlineLevel="0" collapsed="false">
      <c r="A43" s="24" t="s">
        <v>96</v>
      </c>
      <c r="B43" s="24"/>
      <c r="C43" s="24"/>
      <c r="D43" s="24"/>
      <c r="E43" s="24"/>
    </row>
    <row r="44" customFormat="false" ht="24" hidden="false" customHeight="true" outlineLevel="0" collapsed="false">
      <c r="A44" s="24" t="s">
        <v>97</v>
      </c>
      <c r="B44" s="24"/>
      <c r="C44" s="24"/>
      <c r="D44" s="24"/>
      <c r="E44" s="24"/>
    </row>
    <row r="45" customFormat="false" ht="12.75" hidden="false" customHeight="true" outlineLevel="0" collapsed="false">
      <c r="A45" s="24" t="s">
        <v>98</v>
      </c>
      <c r="B45" s="24"/>
      <c r="C45" s="24"/>
      <c r="D45" s="24"/>
      <c r="E45" s="24"/>
    </row>
  </sheetData>
  <mergeCells count="5">
    <mergeCell ref="A1:E1"/>
    <mergeCell ref="A2:E2"/>
    <mergeCell ref="A43:E43"/>
    <mergeCell ref="A44:E44"/>
    <mergeCell ref="A45:E45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723"/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99</v>
      </c>
      <c r="B1" s="1"/>
      <c r="C1" s="1"/>
      <c r="D1" s="1"/>
      <c r="E1" s="1"/>
    </row>
    <row r="2" customFormat="false" ht="15" hidden="false" customHeight="true" outlineLevel="0" collapsed="false">
      <c r="A2" s="2" t="s">
        <v>100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56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101</v>
      </c>
      <c r="B5" s="8"/>
      <c r="C5" s="8"/>
      <c r="D5" s="8"/>
      <c r="E5" s="8"/>
    </row>
    <row r="6" customFormat="false" ht="15" hidden="false" customHeight="false" outlineLevel="0" collapsed="false">
      <c r="A6" s="9" t="s">
        <v>102</v>
      </c>
      <c r="B6" s="25" t="n">
        <v>380</v>
      </c>
      <c r="C6" s="25" t="n">
        <v>398</v>
      </c>
      <c r="D6" s="25" t="n">
        <v>415</v>
      </c>
    </row>
    <row r="7" customFormat="false" ht="15" hidden="false" customHeight="false" outlineLevel="0" collapsed="false">
      <c r="A7" s="9" t="s">
        <v>103</v>
      </c>
      <c r="B7" s="25" t="n">
        <v>148</v>
      </c>
      <c r="C7" s="25" t="n">
        <v>157</v>
      </c>
      <c r="D7" s="25" t="n">
        <v>165</v>
      </c>
    </row>
    <row r="8" customFormat="false" ht="15" hidden="false" customHeight="false" outlineLevel="0" collapsed="false">
      <c r="A8" s="26" t="s">
        <v>104</v>
      </c>
      <c r="B8" s="27" t="n">
        <f aca="false">B6-B7</f>
        <v>232</v>
      </c>
      <c r="C8" s="27" t="n">
        <f aca="false">C6-C7</f>
        <v>241</v>
      </c>
      <c r="D8" s="27" t="n">
        <f aca="false">D6-D7</f>
        <v>250</v>
      </c>
    </row>
    <row r="10" customFormat="false" ht="16.5" hidden="false" customHeight="true" outlineLevel="0" collapsed="false">
      <c r="A10" s="7" t="s">
        <v>105</v>
      </c>
      <c r="B10" s="8"/>
      <c r="C10" s="8"/>
      <c r="D10" s="8"/>
      <c r="E10" s="8"/>
    </row>
    <row r="11" customFormat="false" ht="15" hidden="false" customHeight="false" outlineLevel="0" collapsed="false">
      <c r="A11" s="9" t="s">
        <v>106</v>
      </c>
      <c r="B11" s="13" t="n">
        <f aca="false">'Credit Card Portfolio Detail'!B22</f>
        <v>19</v>
      </c>
      <c r="C11" s="13" t="n">
        <f aca="false">'Credit Card Portfolio Detail'!C22</f>
        <v>20</v>
      </c>
      <c r="D11" s="13" t="n">
        <f aca="false">'Credit Card Portfolio Detail'!D22</f>
        <v>21</v>
      </c>
      <c r="E11" s="12" t="s">
        <v>107</v>
      </c>
    </row>
    <row r="12" customFormat="false" ht="15" hidden="false" customHeight="false" outlineLevel="0" collapsed="false">
      <c r="A12" s="9" t="s">
        <v>108</v>
      </c>
      <c r="B12" s="25" t="n">
        <v>36</v>
      </c>
      <c r="C12" s="25" t="n">
        <v>37</v>
      </c>
      <c r="D12" s="25" t="n">
        <v>38</v>
      </c>
    </row>
    <row r="13" customFormat="false" ht="15" hidden="false" customHeight="false" outlineLevel="0" collapsed="false">
      <c r="A13" s="26" t="s">
        <v>109</v>
      </c>
      <c r="B13" s="27" t="n">
        <f aca="false">B11+B12</f>
        <v>55</v>
      </c>
      <c r="C13" s="27" t="n">
        <f aca="false">C11+C12</f>
        <v>57</v>
      </c>
      <c r="D13" s="27" t="n">
        <f aca="false">D11+D12</f>
        <v>59</v>
      </c>
    </row>
    <row r="15" customFormat="false" ht="15" hidden="false" customHeight="false" outlineLevel="0" collapsed="false">
      <c r="A15" s="28" t="s">
        <v>110</v>
      </c>
      <c r="B15" s="29" t="n">
        <f aca="false">B8+B13</f>
        <v>287</v>
      </c>
      <c r="C15" s="29" t="n">
        <f aca="false">C8+C13</f>
        <v>298</v>
      </c>
      <c r="D15" s="29" t="n">
        <f aca="false">D8+D13</f>
        <v>309</v>
      </c>
    </row>
    <row r="17" customFormat="false" ht="16.5" hidden="false" customHeight="true" outlineLevel="0" collapsed="false">
      <c r="A17" s="7" t="s">
        <v>111</v>
      </c>
      <c r="B17" s="8"/>
      <c r="C17" s="8"/>
      <c r="D17" s="8"/>
      <c r="E17" s="8"/>
    </row>
    <row r="18" customFormat="false" ht="15" hidden="false" customHeight="false" outlineLevel="0" collapsed="false">
      <c r="A18" s="9" t="s">
        <v>17</v>
      </c>
      <c r="B18" s="25" t="n">
        <v>12</v>
      </c>
      <c r="C18" s="25" t="n">
        <v>13</v>
      </c>
      <c r="D18" s="25" t="n">
        <v>14</v>
      </c>
      <c r="E18" s="12" t="s">
        <v>112</v>
      </c>
    </row>
    <row r="19" customFormat="false" ht="15" hidden="false" customHeight="false" outlineLevel="0" collapsed="false">
      <c r="A19" s="9" t="s">
        <v>113</v>
      </c>
      <c r="B19" s="25" t="n">
        <v>183</v>
      </c>
      <c r="C19" s="25" t="n">
        <v>189</v>
      </c>
      <c r="D19" s="25" t="n">
        <v>195</v>
      </c>
    </row>
    <row r="20" customFormat="false" ht="15" hidden="false" customHeight="false" outlineLevel="0" collapsed="false">
      <c r="A20" s="26" t="s">
        <v>114</v>
      </c>
      <c r="B20" s="27" t="n">
        <f aca="false">B15-B18-B19</f>
        <v>92</v>
      </c>
      <c r="C20" s="27" t="n">
        <f aca="false">C15-C18-C19</f>
        <v>96</v>
      </c>
      <c r="D20" s="27" t="n">
        <f aca="false">D15-D18-D19</f>
        <v>100</v>
      </c>
    </row>
    <row r="21" customFormat="false" ht="15" hidden="false" customHeight="false" outlineLevel="0" collapsed="false">
      <c r="A21" s="9" t="s">
        <v>115</v>
      </c>
      <c r="B21" s="33" t="n">
        <v>0.26</v>
      </c>
      <c r="C21" s="33" t="n">
        <v>0.26</v>
      </c>
      <c r="D21" s="33" t="n">
        <v>0.26</v>
      </c>
      <c r="E21" s="12" t="s">
        <v>116</v>
      </c>
    </row>
    <row r="22" customFormat="false" ht="15" hidden="false" customHeight="false" outlineLevel="0" collapsed="false">
      <c r="A22" s="9" t="s">
        <v>117</v>
      </c>
      <c r="B22" s="30" t="n">
        <f aca="false">ROUND(B20*B21,0)</f>
        <v>24</v>
      </c>
      <c r="C22" s="30" t="n">
        <f aca="false">ROUND(C20*C21,0)</f>
        <v>25</v>
      </c>
      <c r="D22" s="30" t="n">
        <f aca="false">ROUND(D20*D21,0)</f>
        <v>26</v>
      </c>
      <c r="E22" s="12" t="s">
        <v>118</v>
      </c>
    </row>
    <row r="23" customFormat="false" ht="15" hidden="false" customHeight="false" outlineLevel="0" collapsed="false">
      <c r="A23" s="28" t="s">
        <v>119</v>
      </c>
      <c r="B23" s="29" t="n">
        <f aca="false">B20-B22</f>
        <v>68</v>
      </c>
      <c r="C23" s="29" t="n">
        <f aca="false">C20-C22</f>
        <v>71</v>
      </c>
      <c r="D23" s="29" t="n">
        <f aca="false">D20-D22</f>
        <v>74</v>
      </c>
    </row>
    <row r="24" customFormat="false" ht="15" hidden="false" customHeight="false" outlineLevel="0" collapsed="false">
      <c r="A24" s="21" t="s">
        <v>120</v>
      </c>
      <c r="B24" s="22" t="n">
        <f aca="false">B15-B18-B19-B22-B23</f>
        <v>0</v>
      </c>
      <c r="C24" s="22" t="n">
        <f aca="false">C15-C18-C19-C22-C23</f>
        <v>0</v>
      </c>
      <c r="D24" s="22" t="n">
        <f aca="false">D15-D18-D19-D22-D23</f>
        <v>0</v>
      </c>
      <c r="E24" s="23" t="str">
        <f aca="false">IF(AND(ABS(B24)&lt;0.01,ABS(C24)&lt;0.01,ABS(D24)&lt;0.01),"TIES OUT - OK","*** DOES NOT TIE ***")</f>
        <v>TIES OUT - OK</v>
      </c>
    </row>
    <row r="26" customFormat="false" ht="16.5" hidden="false" customHeight="true" outlineLevel="0" collapsed="false">
      <c r="A26" s="7" t="s">
        <v>121</v>
      </c>
      <c r="B26" s="8"/>
      <c r="C26" s="8"/>
      <c r="D26" s="8"/>
      <c r="E26" s="8"/>
    </row>
    <row r="27" customFormat="false" ht="15" hidden="false" customHeight="false" outlineLevel="0" collapsed="false">
      <c r="A27" s="9" t="s">
        <v>122</v>
      </c>
      <c r="C27" s="32" t="n">
        <f aca="false">C15/B15-1</f>
        <v>0.0383275261324041</v>
      </c>
      <c r="D27" s="32" t="n">
        <f aca="false">D15/C15-1</f>
        <v>0.0369127516778522</v>
      </c>
    </row>
    <row r="28" customFormat="false" ht="15" hidden="false" customHeight="false" outlineLevel="0" collapsed="false">
      <c r="A28" s="9" t="s">
        <v>123</v>
      </c>
      <c r="C28" s="32" t="n">
        <f aca="false">C23/B23-1</f>
        <v>0.0441176470588236</v>
      </c>
      <c r="D28" s="32" t="n">
        <f aca="false">D23/C23-1</f>
        <v>0.0422535211267605</v>
      </c>
    </row>
    <row r="29" customFormat="false" ht="15" hidden="false" customHeight="false" outlineLevel="0" collapsed="false">
      <c r="A29" s="9" t="s">
        <v>124</v>
      </c>
      <c r="C29" s="32" t="n">
        <f aca="false">C18/B18-1</f>
        <v>0.0833333333333333</v>
      </c>
      <c r="D29" s="32" t="n">
        <f aca="false">D18/C18-1</f>
        <v>0.0769230769230769</v>
      </c>
    </row>
    <row r="30" customFormat="false" ht="15" hidden="false" customHeight="false" outlineLevel="0" collapsed="false">
      <c r="A30" s="9" t="s">
        <v>125</v>
      </c>
      <c r="B30" s="32" t="n">
        <f aca="false">B8/B15</f>
        <v>0.808362369337979</v>
      </c>
      <c r="C30" s="32" t="n">
        <f aca="false">C8/C15</f>
        <v>0.808724832214765</v>
      </c>
      <c r="D30" s="32" t="n">
        <f aca="false">D8/D15</f>
        <v>0.809061488673139</v>
      </c>
    </row>
    <row r="31" customFormat="false" ht="15" hidden="false" customHeight="false" outlineLevel="0" collapsed="false">
      <c r="A31" s="9" t="s">
        <v>126</v>
      </c>
      <c r="B31" s="32" t="n">
        <f aca="false">B13/B15</f>
        <v>0.191637630662021</v>
      </c>
      <c r="C31" s="32" t="n">
        <f aca="false">C13/C15</f>
        <v>0.191275167785235</v>
      </c>
      <c r="D31" s="32" t="n">
        <f aca="false">D13/D15</f>
        <v>0.190938511326861</v>
      </c>
    </row>
    <row r="32" customFormat="false" ht="15" hidden="false" customHeight="false" outlineLevel="0" collapsed="false">
      <c r="A32" s="9" t="s">
        <v>127</v>
      </c>
      <c r="B32" s="32" t="n">
        <f aca="false">B18/B15</f>
        <v>0.0418118466898955</v>
      </c>
      <c r="C32" s="32" t="n">
        <f aca="false">C18/C15</f>
        <v>0.0436241610738255</v>
      </c>
      <c r="D32" s="32" t="n">
        <f aca="false">D18/D15</f>
        <v>0.0453074433656958</v>
      </c>
    </row>
    <row r="34" customFormat="false" ht="12.75" hidden="false" customHeight="true" outlineLevel="0" collapsed="false">
      <c r="A34" s="24" t="s">
        <v>96</v>
      </c>
      <c r="B34" s="24"/>
      <c r="C34" s="24"/>
      <c r="D34" s="24"/>
      <c r="E34" s="24"/>
    </row>
    <row r="35" customFormat="false" ht="24" hidden="false" customHeight="true" outlineLevel="0" collapsed="false">
      <c r="A35" s="24" t="s">
        <v>97</v>
      </c>
      <c r="B35" s="24"/>
      <c r="C35" s="24"/>
      <c r="D35" s="24"/>
      <c r="E35" s="24"/>
    </row>
  </sheetData>
  <mergeCells count="4">
    <mergeCell ref="A1:E1"/>
    <mergeCell ref="A2:E2"/>
    <mergeCell ref="A34:E34"/>
    <mergeCell ref="A35:E35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723"/>
    <pageSetUpPr fitToPage="true"/>
  </sheetPr>
  <dimension ref="A1:E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128</v>
      </c>
      <c r="B1" s="1"/>
      <c r="C1" s="1"/>
      <c r="D1" s="1"/>
      <c r="E1" s="1"/>
    </row>
    <row r="2" customFormat="false" ht="15" hidden="false" customHeight="true" outlineLevel="0" collapsed="false">
      <c r="A2" s="2" t="s">
        <v>129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56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130</v>
      </c>
      <c r="B5" s="8"/>
      <c r="C5" s="8"/>
      <c r="D5" s="8"/>
      <c r="E5" s="8"/>
    </row>
    <row r="6" customFormat="false" ht="15" hidden="false" customHeight="false" outlineLevel="0" collapsed="false">
      <c r="A6" s="9" t="s">
        <v>31</v>
      </c>
      <c r="B6" s="34" t="n">
        <v>137000</v>
      </c>
      <c r="C6" s="34" t="n">
        <v>141000</v>
      </c>
      <c r="D6" s="34" t="n">
        <v>145000</v>
      </c>
    </row>
    <row r="7" customFormat="false" ht="15" hidden="false" customHeight="false" outlineLevel="0" collapsed="false">
      <c r="A7" s="9" t="s">
        <v>86</v>
      </c>
      <c r="B7" s="25" t="n">
        <v>328</v>
      </c>
      <c r="C7" s="25" t="n">
        <v>341</v>
      </c>
      <c r="D7" s="25" t="n">
        <v>355</v>
      </c>
    </row>
    <row r="8" customFormat="false" ht="15" hidden="false" customHeight="false" outlineLevel="0" collapsed="false">
      <c r="A8" s="9" t="s">
        <v>131</v>
      </c>
      <c r="B8" s="25" t="n">
        <v>14</v>
      </c>
      <c r="C8" s="25" t="n">
        <v>14</v>
      </c>
      <c r="D8" s="25" t="n">
        <v>15</v>
      </c>
    </row>
    <row r="9" customFormat="false" ht="15" hidden="false" customHeight="false" outlineLevel="0" collapsed="false">
      <c r="A9" s="26" t="s">
        <v>132</v>
      </c>
      <c r="B9" s="27" t="n">
        <f aca="false">B7-B8</f>
        <v>314</v>
      </c>
      <c r="C9" s="27" t="n">
        <f aca="false">C7-C8</f>
        <v>327</v>
      </c>
      <c r="D9" s="27" t="n">
        <f aca="false">D7-D8</f>
        <v>340</v>
      </c>
      <c r="E9" s="12" t="s">
        <v>133</v>
      </c>
    </row>
    <row r="10" customFormat="false" ht="15" hidden="false" customHeight="false" outlineLevel="0" collapsed="false">
      <c r="A10" s="9" t="s">
        <v>134</v>
      </c>
      <c r="B10" s="35" t="n">
        <f aca="false">B8/B7</f>
        <v>0.0426829268292683</v>
      </c>
      <c r="C10" s="35" t="n">
        <f aca="false">C8/C7</f>
        <v>0.0410557184750733</v>
      </c>
      <c r="D10" s="35" t="n">
        <f aca="false">D8/D7</f>
        <v>0.0422535211267606</v>
      </c>
    </row>
    <row r="11" customFormat="false" ht="15" hidden="false" customHeight="false" outlineLevel="0" collapsed="false">
      <c r="A11" s="9" t="s">
        <v>135</v>
      </c>
      <c r="B11" s="36" t="n">
        <f aca="false">B7*1000000/B6</f>
        <v>2394.16058394161</v>
      </c>
      <c r="C11" s="36" t="n">
        <f aca="false">C7*1000000/C6</f>
        <v>2418.43971631206</v>
      </c>
      <c r="D11" s="36" t="n">
        <f aca="false">D7*1000000/D6</f>
        <v>2448.27586206897</v>
      </c>
    </row>
    <row r="12" customFormat="false" ht="15" hidden="false" customHeight="false" outlineLevel="0" collapsed="false">
      <c r="A12" s="9" t="s">
        <v>136</v>
      </c>
      <c r="B12" s="33" t="n">
        <v>0.345</v>
      </c>
      <c r="C12" s="33" t="n">
        <v>0.348</v>
      </c>
      <c r="D12" s="33" t="n">
        <v>0.35</v>
      </c>
    </row>
    <row r="14" customFormat="false" ht="16.5" hidden="false" customHeight="true" outlineLevel="0" collapsed="false">
      <c r="A14" s="7" t="s">
        <v>137</v>
      </c>
      <c r="B14" s="8"/>
      <c r="C14" s="8"/>
      <c r="D14" s="8"/>
      <c r="E14" s="8"/>
    </row>
    <row r="15" customFormat="false" ht="15" hidden="false" customHeight="false" outlineLevel="0" collapsed="false">
      <c r="A15" s="9" t="s">
        <v>138</v>
      </c>
      <c r="B15" s="25" t="n">
        <v>1650</v>
      </c>
      <c r="C15" s="25" t="n">
        <v>1715</v>
      </c>
      <c r="D15" s="25" t="n">
        <v>1780</v>
      </c>
    </row>
    <row r="16" customFormat="false" ht="15" hidden="false" customHeight="false" outlineLevel="0" collapsed="false">
      <c r="A16" s="9" t="s">
        <v>139</v>
      </c>
      <c r="B16" s="30" t="n">
        <f aca="false">B15-B7</f>
        <v>1322</v>
      </c>
      <c r="C16" s="30" t="n">
        <f aca="false">C15-C7</f>
        <v>1374</v>
      </c>
      <c r="D16" s="30" t="n">
        <f aca="false">D15-D7</f>
        <v>1425</v>
      </c>
    </row>
    <row r="17" customFormat="false" ht="15" hidden="false" customHeight="false" outlineLevel="0" collapsed="false">
      <c r="A17" s="9" t="s">
        <v>140</v>
      </c>
      <c r="B17" s="32" t="n">
        <f aca="false">B7/B15</f>
        <v>0.198787878787879</v>
      </c>
      <c r="C17" s="32" t="n">
        <f aca="false">C7/C15</f>
        <v>0.198833819241983</v>
      </c>
      <c r="D17" s="32" t="n">
        <f aca="false">D7/D15</f>
        <v>0.199438202247191</v>
      </c>
    </row>
    <row r="18" customFormat="false" ht="15" hidden="false" customHeight="false" outlineLevel="0" collapsed="false">
      <c r="A18" s="9" t="s">
        <v>34</v>
      </c>
      <c r="B18" s="25" t="n">
        <v>1240</v>
      </c>
      <c r="C18" s="25" t="n">
        <v>1300</v>
      </c>
      <c r="D18" s="25" t="n">
        <v>1350</v>
      </c>
    </row>
    <row r="19" customFormat="false" ht="15" hidden="false" customHeight="false" outlineLevel="0" collapsed="false">
      <c r="A19" s="9" t="s">
        <v>141</v>
      </c>
      <c r="B19" s="33" t="n">
        <v>0.015</v>
      </c>
      <c r="C19" s="33" t="n">
        <v>0.015</v>
      </c>
      <c r="D19" s="33" t="n">
        <v>0.015</v>
      </c>
      <c r="E19" s="12" t="s">
        <v>142</v>
      </c>
    </row>
    <row r="20" customFormat="false" ht="15" hidden="false" customHeight="false" outlineLevel="0" collapsed="false">
      <c r="A20" s="9" t="s">
        <v>143</v>
      </c>
      <c r="B20" s="37" t="n">
        <f aca="false">B18*B19</f>
        <v>18.6</v>
      </c>
      <c r="C20" s="37" t="n">
        <f aca="false">C18*C19</f>
        <v>19.5</v>
      </c>
      <c r="D20" s="37" t="n">
        <f aca="false">D18*D19</f>
        <v>20.25</v>
      </c>
    </row>
    <row r="21" customFormat="false" ht="15" hidden="false" customHeight="false" outlineLevel="0" collapsed="false">
      <c r="A21" s="9" t="s">
        <v>144</v>
      </c>
      <c r="B21" s="38" t="n">
        <v>0.4</v>
      </c>
      <c r="C21" s="38" t="n">
        <v>0.5</v>
      </c>
      <c r="D21" s="38" t="n">
        <v>0.75</v>
      </c>
    </row>
    <row r="22" customFormat="false" ht="15" hidden="false" customHeight="false" outlineLevel="0" collapsed="false">
      <c r="A22" s="26" t="s">
        <v>145</v>
      </c>
      <c r="B22" s="39" t="n">
        <f aca="false">B20+B21</f>
        <v>19</v>
      </c>
      <c r="C22" s="39" t="n">
        <f aca="false">C20+C21</f>
        <v>20</v>
      </c>
      <c r="D22" s="39" t="n">
        <f aca="false">D20+D21</f>
        <v>21</v>
      </c>
      <c r="E22" s="12" t="s">
        <v>146</v>
      </c>
    </row>
    <row r="23" customFormat="false" ht="15" hidden="false" customHeight="false" outlineLevel="0" collapsed="false">
      <c r="A23" s="9" t="s">
        <v>35</v>
      </c>
      <c r="B23" s="40" t="n">
        <v>0.1999</v>
      </c>
      <c r="C23" s="40" t="n">
        <v>0.1999</v>
      </c>
      <c r="D23" s="40" t="n">
        <v>0.1999</v>
      </c>
    </row>
    <row r="25" customFormat="false" ht="16.5" hidden="false" customHeight="true" outlineLevel="0" collapsed="false">
      <c r="A25" s="7" t="s">
        <v>147</v>
      </c>
      <c r="B25" s="8"/>
      <c r="C25" s="8"/>
      <c r="D25" s="8"/>
      <c r="E25" s="8"/>
    </row>
    <row r="26" customFormat="false" ht="15" hidden="false" customHeight="false" outlineLevel="0" collapsed="false">
      <c r="A26" s="9" t="s">
        <v>148</v>
      </c>
      <c r="B26" s="40" t="n">
        <v>0.012</v>
      </c>
      <c r="C26" s="40" t="n">
        <v>0.0115</v>
      </c>
      <c r="D26" s="40" t="n">
        <v>0.011</v>
      </c>
    </row>
    <row r="27" customFormat="false" ht="15" hidden="false" customHeight="false" outlineLevel="0" collapsed="false">
      <c r="A27" s="9" t="s">
        <v>149</v>
      </c>
      <c r="B27" s="40" t="n">
        <v>0.0055</v>
      </c>
      <c r="C27" s="40" t="n">
        <v>0.0052</v>
      </c>
      <c r="D27" s="40" t="n">
        <v>0.005</v>
      </c>
    </row>
    <row r="28" customFormat="false" ht="15" hidden="false" customHeight="false" outlineLevel="0" collapsed="false">
      <c r="A28" s="9" t="s">
        <v>150</v>
      </c>
      <c r="B28" s="41" t="n">
        <f aca="false">B27*B7</f>
        <v>1.804</v>
      </c>
      <c r="C28" s="41" t="n">
        <f aca="false">C27*C7</f>
        <v>1.7732</v>
      </c>
      <c r="D28" s="41" t="n">
        <f aca="false">D27*D7</f>
        <v>1.775</v>
      </c>
    </row>
    <row r="29" customFormat="false" ht="15" hidden="false" customHeight="false" outlineLevel="0" collapsed="false">
      <c r="A29" s="9" t="s">
        <v>151</v>
      </c>
      <c r="B29" s="40" t="n">
        <v>0.013</v>
      </c>
      <c r="C29" s="40" t="n">
        <v>0.0125</v>
      </c>
      <c r="D29" s="40" t="n">
        <v>0.012</v>
      </c>
    </row>
    <row r="30" customFormat="false" ht="15" hidden="false" customHeight="false" outlineLevel="0" collapsed="false">
      <c r="A30" s="9" t="s">
        <v>152</v>
      </c>
      <c r="B30" s="25" t="n">
        <v>315</v>
      </c>
      <c r="C30" s="30" t="n">
        <f aca="false">B7</f>
        <v>328</v>
      </c>
      <c r="D30" s="30" t="n">
        <f aca="false">C7</f>
        <v>341</v>
      </c>
      <c r="E30" s="12" t="s">
        <v>153</v>
      </c>
    </row>
    <row r="31" customFormat="false" ht="15" hidden="false" customHeight="false" outlineLevel="0" collapsed="false">
      <c r="A31" s="9" t="s">
        <v>154</v>
      </c>
      <c r="B31" s="30" t="n">
        <f aca="false">(B7+B30)/2</f>
        <v>321.5</v>
      </c>
      <c r="C31" s="30" t="n">
        <f aca="false">(C7+C30)/2</f>
        <v>334.5</v>
      </c>
      <c r="D31" s="30" t="n">
        <f aca="false">(D7+D30)/2</f>
        <v>348</v>
      </c>
    </row>
    <row r="32" customFormat="false" ht="15" hidden="false" customHeight="false" outlineLevel="0" collapsed="false">
      <c r="A32" s="9" t="s">
        <v>155</v>
      </c>
      <c r="B32" s="41" t="n">
        <f aca="false">B29*B31</f>
        <v>4.1795</v>
      </c>
      <c r="C32" s="41" t="n">
        <f aca="false">C29*C31</f>
        <v>4.18125</v>
      </c>
      <c r="D32" s="41" t="n">
        <f aca="false">D29*D31</f>
        <v>4.176</v>
      </c>
    </row>
    <row r="33" customFormat="false" ht="15" hidden="false" customHeight="false" outlineLevel="0" collapsed="false">
      <c r="A33" s="9" t="s">
        <v>156</v>
      </c>
      <c r="B33" s="42" t="n">
        <f aca="false">B10/B29</f>
        <v>3.28330206378987</v>
      </c>
      <c r="C33" s="42" t="n">
        <f aca="false">C10/C29</f>
        <v>3.28445747800587</v>
      </c>
      <c r="D33" s="42" t="n">
        <f aca="false">D10/D29</f>
        <v>3.52112676056338</v>
      </c>
      <c r="E33" s="12" t="s">
        <v>157</v>
      </c>
    </row>
    <row r="34" customFormat="false" ht="15" hidden="false" customHeight="false" outlineLevel="0" collapsed="false">
      <c r="A34" s="9" t="s">
        <v>158</v>
      </c>
      <c r="B34" s="42" t="n">
        <f aca="false">B27/B29</f>
        <v>0.423076923076923</v>
      </c>
      <c r="C34" s="42" t="n">
        <f aca="false">C27/C29</f>
        <v>0.416</v>
      </c>
      <c r="D34" s="42" t="n">
        <f aca="false">D27/D29</f>
        <v>0.416666666666667</v>
      </c>
      <c r="E34" s="12" t="s">
        <v>159</v>
      </c>
    </row>
    <row r="36" customFormat="false" ht="16.5" hidden="false" customHeight="true" outlineLevel="0" collapsed="false">
      <c r="A36" s="7" t="s">
        <v>160</v>
      </c>
      <c r="B36" s="8"/>
      <c r="C36" s="8"/>
      <c r="D36" s="8"/>
      <c r="E36" s="8"/>
    </row>
    <row r="37" customFormat="false" ht="15" hidden="false" customHeight="false" outlineLevel="0" collapsed="false">
      <c r="A37" s="9" t="s">
        <v>161</v>
      </c>
      <c r="B37" s="33" t="n">
        <v>0.946</v>
      </c>
      <c r="C37" s="33" t="n">
        <v>0.948</v>
      </c>
      <c r="D37" s="33" t="n">
        <v>0.95</v>
      </c>
    </row>
    <row r="38" customFormat="false" ht="15" hidden="false" customHeight="false" outlineLevel="0" collapsed="false">
      <c r="A38" s="9" t="s">
        <v>162</v>
      </c>
      <c r="B38" s="33" t="n">
        <v>0.043</v>
      </c>
      <c r="C38" s="33" t="n">
        <v>0.042</v>
      </c>
      <c r="D38" s="33" t="n">
        <v>0.04</v>
      </c>
    </row>
    <row r="39" customFormat="false" ht="15" hidden="false" customHeight="false" outlineLevel="0" collapsed="false">
      <c r="A39" s="9" t="s">
        <v>163</v>
      </c>
      <c r="B39" s="33" t="n">
        <v>0.011</v>
      </c>
      <c r="C39" s="33" t="n">
        <v>0.01</v>
      </c>
      <c r="D39" s="33" t="n">
        <v>0.01</v>
      </c>
    </row>
    <row r="40" customFormat="false" ht="15" hidden="false" customHeight="false" outlineLevel="0" collapsed="false">
      <c r="A40" s="26" t="s">
        <v>164</v>
      </c>
      <c r="B40" s="43" t="n">
        <f aca="false">B37+B38+B39</f>
        <v>1</v>
      </c>
      <c r="C40" s="43" t="n">
        <f aca="false">C37+C38+C39</f>
        <v>1</v>
      </c>
      <c r="D40" s="43" t="n">
        <f aca="false">D37+D38+D39</f>
        <v>1</v>
      </c>
    </row>
    <row r="41" customFormat="false" ht="15" hidden="false" customHeight="false" outlineLevel="0" collapsed="false">
      <c r="A41" s="21" t="s">
        <v>165</v>
      </c>
      <c r="B41" s="22" t="n">
        <f aca="false">B40-1</f>
        <v>0</v>
      </c>
      <c r="C41" s="22" t="n">
        <f aca="false">C40-1</f>
        <v>0</v>
      </c>
      <c r="D41" s="22" t="n">
        <f aca="false">D40-1</f>
        <v>0</v>
      </c>
      <c r="E41" s="23" t="str">
        <f aca="false">IF(AND(ABS(B41)&lt;0.0001,ABS(C41)&lt;0.0001,ABS(D41)&lt;0.0001),"SUMS TO 100% - OK","*** CHECK ***")</f>
        <v>SUMS TO 100% - OK</v>
      </c>
    </row>
    <row r="42" customFormat="false" ht="15" hidden="false" customHeight="false" outlineLevel="0" collapsed="false">
      <c r="A42" s="9" t="s">
        <v>166</v>
      </c>
      <c r="B42" s="41" t="n">
        <f aca="false">B39*B7</f>
        <v>3.608</v>
      </c>
      <c r="C42" s="41" t="n">
        <f aca="false">C39*C7</f>
        <v>3.41</v>
      </c>
      <c r="D42" s="41" t="n">
        <f aca="false">D39*D7</f>
        <v>3.55</v>
      </c>
    </row>
    <row r="44" customFormat="false" ht="16.5" hidden="false" customHeight="true" outlineLevel="0" collapsed="false">
      <c r="A44" s="7" t="s">
        <v>167</v>
      </c>
      <c r="B44" s="8"/>
      <c r="C44" s="8"/>
      <c r="D44" s="8"/>
      <c r="E44" s="8"/>
    </row>
    <row r="45" customFormat="false" ht="15" hidden="false" customHeight="false" outlineLevel="0" collapsed="false">
      <c r="A45" s="9" t="s">
        <v>168</v>
      </c>
      <c r="B45" s="40" t="n">
        <v>0.015</v>
      </c>
      <c r="C45" s="40" t="n">
        <v>0.0145</v>
      </c>
      <c r="D45" s="40" t="n">
        <v>0.014</v>
      </c>
    </row>
    <row r="46" customFormat="false" ht="15" hidden="false" customHeight="false" outlineLevel="0" collapsed="false">
      <c r="A46" s="9" t="s">
        <v>169</v>
      </c>
      <c r="B46" s="33" t="n">
        <v>0.78</v>
      </c>
      <c r="C46" s="33" t="n">
        <v>0.78</v>
      </c>
      <c r="D46" s="33" t="n">
        <v>0.78</v>
      </c>
      <c r="E46" s="12" t="s">
        <v>170</v>
      </c>
    </row>
    <row r="47" customFormat="false" ht="15" hidden="false" customHeight="false" outlineLevel="0" collapsed="false">
      <c r="A47" s="9" t="s">
        <v>171</v>
      </c>
      <c r="B47" s="35" t="n">
        <f aca="false">B45*B46</f>
        <v>0.0117</v>
      </c>
      <c r="C47" s="35" t="n">
        <f aca="false">C45*C46</f>
        <v>0.01131</v>
      </c>
      <c r="D47" s="35" t="n">
        <f aca="false">D45*D46</f>
        <v>0.01092</v>
      </c>
    </row>
    <row r="48" customFormat="false" ht="15" hidden="false" customHeight="false" outlineLevel="0" collapsed="false">
      <c r="A48" s="9" t="s">
        <v>172</v>
      </c>
      <c r="B48" s="32" t="n">
        <f aca="false">1-B46</f>
        <v>0.22</v>
      </c>
      <c r="C48" s="32" t="n">
        <f aca="false">1-C46</f>
        <v>0.22</v>
      </c>
      <c r="D48" s="32" t="n">
        <f aca="false">1-D46</f>
        <v>0.22</v>
      </c>
    </row>
    <row r="50" customFormat="false" ht="16.5" hidden="false" customHeight="true" outlineLevel="0" collapsed="false">
      <c r="A50" s="7" t="s">
        <v>173</v>
      </c>
      <c r="B50" s="8"/>
      <c r="C50" s="8"/>
      <c r="D50" s="8"/>
      <c r="E50" s="8"/>
    </row>
    <row r="51" customFormat="false" ht="15" hidden="false" customHeight="false" outlineLevel="0" collapsed="false">
      <c r="A51" s="9" t="s">
        <v>174</v>
      </c>
      <c r="B51" s="44" t="n">
        <v>14</v>
      </c>
      <c r="C51" s="41" t="n">
        <f aca="false">B8</f>
        <v>14</v>
      </c>
      <c r="D51" s="41" t="n">
        <f aca="false">C8</f>
        <v>14</v>
      </c>
      <c r="E51" s="12" t="s">
        <v>79</v>
      </c>
    </row>
    <row r="52" customFormat="false" ht="15" hidden="false" customHeight="false" outlineLevel="0" collapsed="false">
      <c r="A52" s="9" t="s">
        <v>175</v>
      </c>
      <c r="B52" s="41" t="n">
        <f aca="false">B8-B51+B32</f>
        <v>4.1795</v>
      </c>
      <c r="C52" s="41" t="n">
        <f aca="false">C8-C51+C32</f>
        <v>4.18125</v>
      </c>
      <c r="D52" s="41" t="n">
        <f aca="false">D8-D51+D32</f>
        <v>5.176</v>
      </c>
      <c r="E52" s="12" t="s">
        <v>176</v>
      </c>
    </row>
    <row r="53" customFormat="false" ht="15" hidden="false" customHeight="false" outlineLevel="0" collapsed="false">
      <c r="A53" s="9" t="s">
        <v>177</v>
      </c>
      <c r="B53" s="41" t="n">
        <f aca="false">-B32</f>
        <v>-4.1795</v>
      </c>
      <c r="C53" s="41" t="n">
        <f aca="false">-C32</f>
        <v>-4.18125</v>
      </c>
      <c r="D53" s="41" t="n">
        <f aca="false">-D32</f>
        <v>-4.176</v>
      </c>
    </row>
    <row r="54" customFormat="false" ht="15" hidden="false" customHeight="false" outlineLevel="0" collapsed="false">
      <c r="A54" s="26" t="s">
        <v>178</v>
      </c>
      <c r="B54" s="45" t="n">
        <f aca="false">B51+B52+B53</f>
        <v>14</v>
      </c>
      <c r="C54" s="45" t="n">
        <f aca="false">C51+C52+C53</f>
        <v>14</v>
      </c>
      <c r="D54" s="45" t="n">
        <f aca="false">D51+D52+D53</f>
        <v>15</v>
      </c>
    </row>
    <row r="55" customFormat="false" ht="15" hidden="false" customHeight="false" outlineLevel="0" collapsed="false">
      <c r="A55" s="9" t="s">
        <v>179</v>
      </c>
      <c r="B55" s="13" t="n">
        <f aca="false">'Income Statement'!B18</f>
        <v>12</v>
      </c>
      <c r="C55" s="13" t="n">
        <f aca="false">'Income Statement'!C18</f>
        <v>13</v>
      </c>
      <c r="D55" s="13" t="n">
        <f aca="false">'Income Statement'!D18</f>
        <v>14</v>
      </c>
      <c r="E55" s="12" t="s">
        <v>19</v>
      </c>
    </row>
    <row r="56" customFormat="false" ht="15" hidden="false" customHeight="false" outlineLevel="0" collapsed="false">
      <c r="A56" s="9" t="s">
        <v>180</v>
      </c>
      <c r="B56" s="32" t="n">
        <f aca="false">B52/B55</f>
        <v>0.348291666666667</v>
      </c>
      <c r="C56" s="32" t="n">
        <f aca="false">C52/C55</f>
        <v>0.321634615384615</v>
      </c>
      <c r="D56" s="32" t="n">
        <f aca="false">D52/D55</f>
        <v>0.369714285714286</v>
      </c>
    </row>
    <row r="58" customFormat="false" ht="16.5" hidden="false" customHeight="true" outlineLevel="0" collapsed="false">
      <c r="A58" s="7" t="s">
        <v>181</v>
      </c>
      <c r="B58" s="8"/>
      <c r="C58" s="8"/>
      <c r="D58" s="8"/>
      <c r="E58" s="8"/>
    </row>
    <row r="59" customFormat="false" ht="15" hidden="false" customHeight="false" outlineLevel="0" collapsed="false">
      <c r="A59" s="9" t="s">
        <v>182</v>
      </c>
      <c r="C59" s="32" t="n">
        <f aca="false">C7/B7-1</f>
        <v>0.0396341463414633</v>
      </c>
      <c r="D59" s="32" t="n">
        <f aca="false">D7/C7-1</f>
        <v>0.0410557184750733</v>
      </c>
    </row>
    <row r="60" customFormat="false" ht="15" hidden="false" customHeight="false" outlineLevel="0" collapsed="false">
      <c r="A60" s="9" t="s">
        <v>183</v>
      </c>
      <c r="C60" s="32" t="n">
        <f aca="false">C18/B18-1</f>
        <v>0.0483870967741935</v>
      </c>
      <c r="D60" s="32" t="n">
        <f aca="false">D18/C18-1</f>
        <v>0.0384615384615386</v>
      </c>
    </row>
    <row r="61" customFormat="false" ht="15" hidden="false" customHeight="false" outlineLevel="0" collapsed="false">
      <c r="A61" s="9" t="s">
        <v>184</v>
      </c>
      <c r="C61" s="32" t="n">
        <f aca="false">C6/B6-1</f>
        <v>0.0291970802919708</v>
      </c>
      <c r="D61" s="32" t="n">
        <f aca="false">D6/C6-1</f>
        <v>0.0283687943262412</v>
      </c>
    </row>
    <row r="62" customFormat="false" ht="15" hidden="false" customHeight="false" outlineLevel="0" collapsed="false">
      <c r="A62" s="9" t="s">
        <v>185</v>
      </c>
      <c r="D62" s="32" t="n">
        <f aca="false">(D7/B7)^(1/2)-1</f>
        <v>0.0403446895960644</v>
      </c>
    </row>
    <row r="64" customFormat="false" ht="12.75" hidden="false" customHeight="true" outlineLevel="0" collapsed="false">
      <c r="A64" s="24" t="s">
        <v>186</v>
      </c>
      <c r="B64" s="24"/>
      <c r="C64" s="24"/>
      <c r="D64" s="24"/>
      <c r="E64" s="24"/>
    </row>
    <row r="65" customFormat="false" ht="12.75" hidden="false" customHeight="true" outlineLevel="0" collapsed="false">
      <c r="A65" s="24" t="s">
        <v>187</v>
      </c>
      <c r="B65" s="24"/>
      <c r="C65" s="24"/>
      <c r="D65" s="24"/>
      <c r="E65" s="24"/>
    </row>
    <row r="66" customFormat="false" ht="12.75" hidden="false" customHeight="true" outlineLevel="0" collapsed="false">
      <c r="A66" s="24" t="s">
        <v>96</v>
      </c>
      <c r="B66" s="24"/>
      <c r="C66" s="24"/>
      <c r="D66" s="24"/>
      <c r="E66" s="24"/>
    </row>
  </sheetData>
  <mergeCells count="5">
    <mergeCell ref="A1:E1"/>
    <mergeCell ref="A2:E2"/>
    <mergeCell ref="A64:E64"/>
    <mergeCell ref="A65:E65"/>
    <mergeCell ref="A66:E66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723"/>
    <pageSetUpPr fitToPage="tru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188</v>
      </c>
      <c r="B1" s="1"/>
      <c r="C1" s="1"/>
      <c r="D1" s="1"/>
      <c r="E1" s="1"/>
    </row>
    <row r="2" customFormat="false" ht="15" hidden="false" customHeight="true" outlineLevel="0" collapsed="false">
      <c r="A2" s="2" t="s">
        <v>189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56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190</v>
      </c>
      <c r="B5" s="8"/>
      <c r="C5" s="8"/>
      <c r="D5" s="8"/>
      <c r="E5" s="8"/>
    </row>
    <row r="6" customFormat="false" ht="15" hidden="false" customHeight="false" outlineLevel="0" collapsed="false">
      <c r="A6" s="9" t="s">
        <v>191</v>
      </c>
      <c r="B6" s="25" t="n">
        <v>703</v>
      </c>
      <c r="C6" s="25" t="n">
        <v>729</v>
      </c>
      <c r="D6" s="25" t="n">
        <v>760</v>
      </c>
    </row>
    <row r="7" customFormat="false" ht="15" hidden="false" customHeight="false" outlineLevel="0" collapsed="false">
      <c r="A7" s="9" t="s">
        <v>192</v>
      </c>
      <c r="B7" s="13" t="n">
        <f aca="false">'Balance Sheet'!B23</f>
        <v>739</v>
      </c>
      <c r="C7" s="13" t="n">
        <f aca="false">'Balance Sheet'!C23</f>
        <v>767</v>
      </c>
      <c r="D7" s="13" t="n">
        <f aca="false">'Balance Sheet'!D23</f>
        <v>800</v>
      </c>
      <c r="E7" s="12" t="s">
        <v>11</v>
      </c>
    </row>
    <row r="8" customFormat="false" ht="15" hidden="false" customHeight="false" outlineLevel="0" collapsed="false">
      <c r="A8" s="9" t="s">
        <v>193</v>
      </c>
      <c r="B8" s="30" t="n">
        <f aca="false">B7-B6</f>
        <v>36</v>
      </c>
      <c r="C8" s="30" t="n">
        <f aca="false">C7-C6</f>
        <v>38</v>
      </c>
      <c r="D8" s="30" t="n">
        <f aca="false">D7-D6</f>
        <v>40</v>
      </c>
    </row>
    <row r="9" customFormat="false" ht="15" hidden="false" customHeight="false" outlineLevel="0" collapsed="false">
      <c r="A9" s="9" t="s">
        <v>194</v>
      </c>
      <c r="B9" s="25" t="n">
        <v>45</v>
      </c>
      <c r="C9" s="25" t="n">
        <v>45</v>
      </c>
      <c r="D9" s="25" t="n">
        <v>45</v>
      </c>
      <c r="E9" s="12" t="s">
        <v>195</v>
      </c>
    </row>
    <row r="10" customFormat="false" ht="15" hidden="false" customHeight="false" outlineLevel="0" collapsed="false">
      <c r="A10" s="26" t="s">
        <v>196</v>
      </c>
      <c r="B10" s="27" t="n">
        <f aca="false">B6+B9</f>
        <v>748</v>
      </c>
      <c r="C10" s="27" t="n">
        <f aca="false">C6+C9</f>
        <v>774</v>
      </c>
      <c r="D10" s="27" t="n">
        <f aca="false">D6+D9</f>
        <v>805</v>
      </c>
    </row>
    <row r="11" customFormat="false" ht="15" hidden="false" customHeight="false" outlineLevel="0" collapsed="false">
      <c r="A11" s="9" t="s">
        <v>197</v>
      </c>
      <c r="B11" s="25" t="n">
        <v>30</v>
      </c>
      <c r="C11" s="25" t="n">
        <v>32</v>
      </c>
      <c r="D11" s="25" t="n">
        <v>35</v>
      </c>
    </row>
    <row r="12" customFormat="false" ht="15" hidden="false" customHeight="false" outlineLevel="0" collapsed="false">
      <c r="A12" s="28" t="s">
        <v>198</v>
      </c>
      <c r="B12" s="29" t="n">
        <f aca="false">B10+B11</f>
        <v>778</v>
      </c>
      <c r="C12" s="29" t="n">
        <f aca="false">C10+C11</f>
        <v>806</v>
      </c>
      <c r="D12" s="29" t="n">
        <f aca="false">D10+D11</f>
        <v>840</v>
      </c>
    </row>
    <row r="14" customFormat="false" ht="16.5" hidden="false" customHeight="true" outlineLevel="0" collapsed="false">
      <c r="A14" s="7" t="s">
        <v>199</v>
      </c>
      <c r="B14" s="8"/>
      <c r="C14" s="8"/>
      <c r="D14" s="8"/>
      <c r="E14" s="8"/>
    </row>
    <row r="15" customFormat="false" ht="15" hidden="false" customHeight="false" outlineLevel="0" collapsed="false">
      <c r="A15" s="9" t="s">
        <v>200</v>
      </c>
      <c r="B15" s="25" t="n">
        <v>4235</v>
      </c>
      <c r="C15" s="25" t="n">
        <v>4340</v>
      </c>
      <c r="D15" s="25" t="n">
        <v>4450</v>
      </c>
    </row>
    <row r="16" customFormat="false" ht="15" hidden="false" customHeight="false" outlineLevel="0" collapsed="false">
      <c r="A16" s="9" t="s">
        <v>10</v>
      </c>
      <c r="B16" s="13" t="n">
        <f aca="false">'Balance Sheet'!B14</f>
        <v>9329</v>
      </c>
      <c r="C16" s="13" t="n">
        <f aca="false">'Balance Sheet'!C14</f>
        <v>9557</v>
      </c>
      <c r="D16" s="13" t="n">
        <f aca="false">'Balance Sheet'!D14</f>
        <v>9800</v>
      </c>
      <c r="E16" s="12" t="s">
        <v>11</v>
      </c>
    </row>
    <row r="17" customFormat="false" ht="15" hidden="false" customHeight="false" outlineLevel="0" collapsed="false">
      <c r="A17" s="9" t="s">
        <v>201</v>
      </c>
      <c r="B17" s="13" t="n">
        <f aca="false">'Credit Card Portfolio Detail'!B16</f>
        <v>1322</v>
      </c>
      <c r="C17" s="13" t="n">
        <f aca="false">'Credit Card Portfolio Detail'!C16</f>
        <v>1374</v>
      </c>
      <c r="D17" s="13" t="n">
        <f aca="false">'Credit Card Portfolio Detail'!D16</f>
        <v>1425</v>
      </c>
      <c r="E17" s="12" t="s">
        <v>33</v>
      </c>
    </row>
    <row r="18" customFormat="false" ht="15" hidden="false" customHeight="false" outlineLevel="0" collapsed="false">
      <c r="A18" s="9" t="s">
        <v>202</v>
      </c>
      <c r="B18" s="33" t="n">
        <v>0.1</v>
      </c>
      <c r="C18" s="33" t="n">
        <v>0.1</v>
      </c>
      <c r="D18" s="33" t="n">
        <v>0.1</v>
      </c>
      <c r="E18" s="12" t="s">
        <v>203</v>
      </c>
    </row>
    <row r="19" customFormat="false" ht="15" hidden="false" customHeight="false" outlineLevel="0" collapsed="false">
      <c r="A19" s="9" t="s">
        <v>204</v>
      </c>
      <c r="B19" s="30" t="n">
        <f aca="false">B16+B18*B17</f>
        <v>9461.2</v>
      </c>
      <c r="C19" s="30" t="n">
        <f aca="false">C16+C18*C17</f>
        <v>9694.4</v>
      </c>
      <c r="D19" s="30" t="n">
        <f aca="false">D16+D18*D17</f>
        <v>9942.5</v>
      </c>
    </row>
    <row r="20" customFormat="false" ht="15" hidden="false" customHeight="false" outlineLevel="0" collapsed="false">
      <c r="A20" s="9" t="s">
        <v>205</v>
      </c>
      <c r="B20" s="32" t="n">
        <f aca="false">B15/B16</f>
        <v>0.453960767499196</v>
      </c>
      <c r="C20" s="32" t="n">
        <f aca="false">C15/C16</f>
        <v>0.45411740085801</v>
      </c>
      <c r="D20" s="32" t="n">
        <f aca="false">D15/D16</f>
        <v>0.454081632653061</v>
      </c>
    </row>
    <row r="21" customFormat="false" ht="15" hidden="false" customHeight="false" outlineLevel="0" collapsed="false">
      <c r="A21" s="9" t="s">
        <v>206</v>
      </c>
      <c r="B21" s="32" t="n">
        <f aca="false">B15/B19</f>
        <v>0.447617638354543</v>
      </c>
      <c r="C21" s="32" t="n">
        <f aca="false">C15/C19</f>
        <v>0.447681135500908</v>
      </c>
      <c r="D21" s="32" t="n">
        <f aca="false">D15/D19</f>
        <v>0.447573547900427</v>
      </c>
    </row>
    <row r="23" customFormat="false" ht="16.5" hidden="false" customHeight="true" outlineLevel="0" collapsed="false">
      <c r="A23" s="7" t="s">
        <v>207</v>
      </c>
      <c r="B23" s="8"/>
      <c r="C23" s="8"/>
      <c r="D23" s="8"/>
      <c r="E23" s="8"/>
    </row>
    <row r="24" customFormat="false" ht="15" hidden="false" customHeight="false" outlineLevel="0" collapsed="false">
      <c r="A24" s="28" t="s">
        <v>27</v>
      </c>
      <c r="B24" s="46" t="n">
        <f aca="false">B6/B15</f>
        <v>0.165997638724911</v>
      </c>
      <c r="C24" s="46" t="n">
        <f aca="false">C6/C15</f>
        <v>0.167972350230415</v>
      </c>
      <c r="D24" s="46" t="n">
        <f aca="false">D6/D15</f>
        <v>0.170786516853933</v>
      </c>
    </row>
    <row r="25" customFormat="false" ht="15" hidden="false" customHeight="false" outlineLevel="0" collapsed="false">
      <c r="A25" s="9" t="s">
        <v>208</v>
      </c>
      <c r="B25" s="35" t="n">
        <f aca="false">B10/B15</f>
        <v>0.176623376623377</v>
      </c>
      <c r="C25" s="35" t="n">
        <f aca="false">C10/C15</f>
        <v>0.178341013824885</v>
      </c>
      <c r="D25" s="35" t="n">
        <f aca="false">D10/D15</f>
        <v>0.180898876404494</v>
      </c>
    </row>
    <row r="26" customFormat="false" ht="15" hidden="false" customHeight="false" outlineLevel="0" collapsed="false">
      <c r="A26" s="9" t="s">
        <v>209</v>
      </c>
      <c r="B26" s="35" t="n">
        <f aca="false">B12/B15</f>
        <v>0.18370720188902</v>
      </c>
      <c r="C26" s="35" t="n">
        <f aca="false">C12/C15</f>
        <v>0.185714285714286</v>
      </c>
      <c r="D26" s="35" t="n">
        <f aca="false">D12/D15</f>
        <v>0.18876404494382</v>
      </c>
    </row>
    <row r="27" customFormat="false" ht="15" hidden="false" customHeight="false" outlineLevel="0" collapsed="false">
      <c r="A27" s="9" t="s">
        <v>210</v>
      </c>
      <c r="B27" s="35" t="n">
        <f aca="false">B10/B16</f>
        <v>0.0801800836102476</v>
      </c>
      <c r="C27" s="35" t="n">
        <f aca="false">C10/C16</f>
        <v>0.0809877576645391</v>
      </c>
      <c r="D27" s="35" t="n">
        <f aca="false">D10/D16</f>
        <v>0.0821428571428571</v>
      </c>
    </row>
    <row r="28" customFormat="false" ht="15" hidden="false" customHeight="false" outlineLevel="0" collapsed="false">
      <c r="A28" s="9" t="s">
        <v>211</v>
      </c>
      <c r="B28" s="35" t="n">
        <f aca="false">B10/B19</f>
        <v>0.0790597387223608</v>
      </c>
      <c r="C28" s="35" t="n">
        <f aca="false">C10/C19</f>
        <v>0.0798399075755075</v>
      </c>
      <c r="D28" s="35" t="n">
        <f aca="false">D10/D19</f>
        <v>0.0809655519235605</v>
      </c>
    </row>
    <row r="30" customFormat="false" ht="16.5" hidden="false" customHeight="true" outlineLevel="0" collapsed="false">
      <c r="A30" s="7" t="s">
        <v>212</v>
      </c>
      <c r="B30" s="8"/>
      <c r="C30" s="8"/>
      <c r="D30" s="8"/>
      <c r="E30" s="8"/>
    </row>
    <row r="31" customFormat="false" ht="15" hidden="false" customHeight="false" outlineLevel="0" collapsed="false">
      <c r="A31" s="9" t="s">
        <v>213</v>
      </c>
      <c r="B31" s="33" t="n">
        <v>0.07</v>
      </c>
      <c r="C31" s="33" t="n">
        <v>0.07</v>
      </c>
      <c r="D31" s="33" t="n">
        <v>0.07</v>
      </c>
      <c r="E31" s="12" t="s">
        <v>214</v>
      </c>
    </row>
    <row r="32" customFormat="false" ht="15" hidden="false" customHeight="false" outlineLevel="0" collapsed="false">
      <c r="A32" s="9" t="s">
        <v>215</v>
      </c>
      <c r="B32" s="30" t="n">
        <f aca="false">B6-B31*B15</f>
        <v>406.55</v>
      </c>
      <c r="C32" s="30" t="n">
        <f aca="false">C6-C31*C15</f>
        <v>425.2</v>
      </c>
      <c r="D32" s="30" t="n">
        <f aca="false">D6-D31*D15</f>
        <v>448.5</v>
      </c>
    </row>
    <row r="33" customFormat="false" ht="15" hidden="false" customHeight="false" outlineLevel="0" collapsed="false">
      <c r="A33" s="9" t="s">
        <v>216</v>
      </c>
      <c r="B33" s="47" t="n">
        <f aca="false">(B24-B31)*10000</f>
        <v>959.976387249114</v>
      </c>
      <c r="C33" s="47" t="n">
        <f aca="false">(C24-C31)*10000</f>
        <v>979.723502304147</v>
      </c>
      <c r="D33" s="47" t="n">
        <f aca="false">(D24-D31)*10000</f>
        <v>1007.86516853933</v>
      </c>
    </row>
    <row r="35" customFormat="false" ht="16.5" hidden="false" customHeight="true" outlineLevel="0" collapsed="false">
      <c r="A35" s="7" t="s">
        <v>217</v>
      </c>
      <c r="B35" s="8"/>
      <c r="C35" s="8"/>
      <c r="D35" s="8"/>
      <c r="E35" s="8"/>
    </row>
    <row r="36" customFormat="false" ht="15" hidden="false" customHeight="false" outlineLevel="0" collapsed="false">
      <c r="A36" s="9" t="s">
        <v>218</v>
      </c>
      <c r="C36" s="32" t="n">
        <f aca="false">C6/B6-1</f>
        <v>0.0369843527738265</v>
      </c>
      <c r="D36" s="32" t="n">
        <f aca="false">D6/C6-1</f>
        <v>0.0425240054869684</v>
      </c>
    </row>
    <row r="37" customFormat="false" ht="15" hidden="false" customHeight="false" outlineLevel="0" collapsed="false">
      <c r="A37" s="9" t="s">
        <v>219</v>
      </c>
      <c r="C37" s="32" t="n">
        <f aca="false">C15/B15-1</f>
        <v>0.024793388429752</v>
      </c>
      <c r="D37" s="32" t="n">
        <f aca="false">D15/C15-1</f>
        <v>0.0253456221198156</v>
      </c>
    </row>
    <row r="38" customFormat="false" ht="15" hidden="false" customHeight="false" outlineLevel="0" collapsed="false">
      <c r="A38" s="9" t="s">
        <v>220</v>
      </c>
      <c r="C38" s="47" t="n">
        <f aca="false">(C24-B24)*10000</f>
        <v>19.747115055033</v>
      </c>
      <c r="D38" s="47" t="n">
        <f aca="false">(D24-C24)*10000</f>
        <v>28.1416662351786</v>
      </c>
    </row>
    <row r="40" customFormat="false" ht="16.5" hidden="false" customHeight="true" outlineLevel="0" collapsed="false">
      <c r="A40" s="7" t="s">
        <v>221</v>
      </c>
      <c r="B40" s="8"/>
      <c r="C40" s="8"/>
      <c r="D40" s="8"/>
      <c r="E40" s="8"/>
    </row>
    <row r="41" customFormat="false" ht="15" hidden="false" customHeight="false" outlineLevel="0" collapsed="false">
      <c r="A41" s="9" t="s">
        <v>222</v>
      </c>
      <c r="B41" s="33" t="n">
        <v>0.45</v>
      </c>
      <c r="C41" s="33" t="n">
        <v>0.45</v>
      </c>
      <c r="D41" s="33" t="n">
        <v>0.45</v>
      </c>
      <c r="E41" s="12" t="s">
        <v>223</v>
      </c>
    </row>
    <row r="42" customFormat="false" ht="15" hidden="false" customHeight="false" outlineLevel="0" collapsed="false">
      <c r="A42" s="9" t="s">
        <v>224</v>
      </c>
      <c r="B42" s="33" t="n">
        <v>0.75</v>
      </c>
      <c r="C42" s="33" t="n">
        <v>0.75</v>
      </c>
      <c r="D42" s="33" t="n">
        <v>0.75</v>
      </c>
      <c r="E42" s="12" t="s">
        <v>223</v>
      </c>
    </row>
    <row r="43" customFormat="false" ht="15" hidden="false" customHeight="false" outlineLevel="0" collapsed="false">
      <c r="A43" s="9" t="s">
        <v>225</v>
      </c>
      <c r="B43" s="15" t="n">
        <f aca="false">'Credit Card Portfolio Detail'!B12</f>
        <v>0.345</v>
      </c>
      <c r="C43" s="15" t="n">
        <f aca="false">'Credit Card Portfolio Detail'!C12</f>
        <v>0.348</v>
      </c>
      <c r="D43" s="15" t="n">
        <f aca="false">'Credit Card Portfolio Detail'!D12</f>
        <v>0.35</v>
      </c>
      <c r="E43" s="12" t="s">
        <v>33</v>
      </c>
    </row>
    <row r="44" customFormat="false" ht="15" hidden="false" customHeight="false" outlineLevel="0" collapsed="false">
      <c r="A44" s="9" t="s">
        <v>226</v>
      </c>
      <c r="B44" s="32" t="n">
        <f aca="false">B43*B42+(1-B43)*B41</f>
        <v>0.5535</v>
      </c>
      <c r="C44" s="32" t="n">
        <f aca="false">C43*C42+(1-C43)*C41</f>
        <v>0.5544</v>
      </c>
      <c r="D44" s="32" t="n">
        <f aca="false">D43*D42+(1-D43)*D41</f>
        <v>0.555</v>
      </c>
    </row>
    <row r="45" customFormat="false" ht="15" hidden="false" customHeight="false" outlineLevel="0" collapsed="false">
      <c r="A45" s="9" t="s">
        <v>32</v>
      </c>
      <c r="B45" s="13" t="n">
        <f aca="false">'Credit Card Portfolio Detail'!B7</f>
        <v>328</v>
      </c>
      <c r="C45" s="13" t="n">
        <f aca="false">'Credit Card Portfolio Detail'!C7</f>
        <v>341</v>
      </c>
      <c r="D45" s="13" t="n">
        <f aca="false">'Credit Card Portfolio Detail'!D7</f>
        <v>355</v>
      </c>
      <c r="E45" s="12" t="s">
        <v>33</v>
      </c>
    </row>
    <row r="46" customFormat="false" ht="15" hidden="false" customHeight="false" outlineLevel="0" collapsed="false">
      <c r="A46" s="9" t="s">
        <v>227</v>
      </c>
      <c r="B46" s="30" t="n">
        <f aca="false">B45+B18*B17</f>
        <v>460.2</v>
      </c>
      <c r="C46" s="30" t="n">
        <f aca="false">C45+C18*C17</f>
        <v>478.4</v>
      </c>
      <c r="D46" s="30" t="n">
        <f aca="false">D45+D18*D17</f>
        <v>497.5</v>
      </c>
    </row>
    <row r="47" customFormat="false" ht="15" hidden="false" customHeight="false" outlineLevel="0" collapsed="false">
      <c r="A47" s="9" t="s">
        <v>228</v>
      </c>
      <c r="B47" s="30" t="n">
        <f aca="false">B44*B46</f>
        <v>254.7207</v>
      </c>
      <c r="C47" s="30" t="n">
        <f aca="false">C44*C46</f>
        <v>265.22496</v>
      </c>
      <c r="D47" s="30" t="n">
        <f aca="false">D44*D46</f>
        <v>276.1125</v>
      </c>
      <c r="E47" s="12" t="s">
        <v>229</v>
      </c>
    </row>
    <row r="48" customFormat="false" ht="15" hidden="false" customHeight="false" outlineLevel="0" collapsed="false">
      <c r="A48" s="9" t="s">
        <v>230</v>
      </c>
      <c r="B48" s="32" t="n">
        <f aca="false">B47/B15</f>
        <v>0.0601465643447462</v>
      </c>
      <c r="C48" s="32" t="n">
        <f aca="false">C47/C15</f>
        <v>0.0611117419354839</v>
      </c>
      <c r="D48" s="32" t="n">
        <f aca="false">D47/D15</f>
        <v>0.0620477528089888</v>
      </c>
    </row>
    <row r="50" customFormat="false" ht="12.75" hidden="false" customHeight="true" outlineLevel="0" collapsed="false">
      <c r="A50" s="24" t="s">
        <v>231</v>
      </c>
      <c r="B50" s="24"/>
      <c r="C50" s="24"/>
      <c r="D50" s="24"/>
      <c r="E50" s="24"/>
    </row>
    <row r="51" customFormat="false" ht="24" hidden="false" customHeight="true" outlineLevel="0" collapsed="false">
      <c r="A51" s="24" t="s">
        <v>232</v>
      </c>
      <c r="B51" s="24"/>
      <c r="C51" s="24"/>
      <c r="D51" s="24"/>
      <c r="E51" s="24"/>
    </row>
    <row r="52" customFormat="false" ht="24" hidden="false" customHeight="true" outlineLevel="0" collapsed="false">
      <c r="A52" s="24" t="s">
        <v>97</v>
      </c>
      <c r="B52" s="24"/>
      <c r="C52" s="24"/>
      <c r="D52" s="24"/>
      <c r="E52" s="24"/>
    </row>
  </sheetData>
  <mergeCells count="5">
    <mergeCell ref="A1:E1"/>
    <mergeCell ref="A2:E2"/>
    <mergeCell ref="A50:E50"/>
    <mergeCell ref="A51:E51"/>
    <mergeCell ref="A52:E52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723"/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233</v>
      </c>
      <c r="B1" s="1"/>
      <c r="C1" s="1"/>
      <c r="D1" s="1"/>
      <c r="E1" s="1"/>
    </row>
    <row r="2" customFormat="false" ht="15" hidden="false" customHeight="true" outlineLevel="0" collapsed="false">
      <c r="A2" s="2" t="s">
        <v>234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56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235</v>
      </c>
      <c r="B5" s="8"/>
      <c r="C5" s="8"/>
      <c r="D5" s="8"/>
      <c r="E5" s="8"/>
    </row>
    <row r="6" customFormat="false" ht="15" hidden="false" customHeight="false" outlineLevel="0" collapsed="false">
      <c r="A6" s="9" t="s">
        <v>18</v>
      </c>
      <c r="B6" s="13" t="n">
        <f aca="false">'Income Statement'!B23</f>
        <v>68</v>
      </c>
      <c r="C6" s="13" t="n">
        <f aca="false">'Income Statement'!C23</f>
        <v>71</v>
      </c>
      <c r="D6" s="13" t="n">
        <f aca="false">'Income Statement'!D23</f>
        <v>74</v>
      </c>
      <c r="E6" s="12" t="s">
        <v>19</v>
      </c>
    </row>
    <row r="7" customFormat="false" ht="15" hidden="false" customHeight="false" outlineLevel="0" collapsed="false">
      <c r="A7" s="9" t="s">
        <v>16</v>
      </c>
      <c r="B7" s="13" t="n">
        <f aca="false">'Income Statement'!B15</f>
        <v>287</v>
      </c>
      <c r="C7" s="13" t="n">
        <f aca="false">'Income Statement'!C15</f>
        <v>298</v>
      </c>
      <c r="D7" s="13" t="n">
        <f aca="false">'Income Statement'!D15</f>
        <v>309</v>
      </c>
      <c r="E7" s="12" t="s">
        <v>19</v>
      </c>
    </row>
    <row r="8" customFormat="false" ht="15" hidden="false" customHeight="false" outlineLevel="0" collapsed="false">
      <c r="A8" s="9" t="s">
        <v>104</v>
      </c>
      <c r="B8" s="13" t="n">
        <f aca="false">'Income Statement'!B8</f>
        <v>232</v>
      </c>
      <c r="C8" s="13" t="n">
        <f aca="false">'Income Statement'!C8</f>
        <v>241</v>
      </c>
      <c r="D8" s="13" t="n">
        <f aca="false">'Income Statement'!D8</f>
        <v>250</v>
      </c>
      <c r="E8" s="12" t="s">
        <v>19</v>
      </c>
    </row>
    <row r="9" customFormat="false" ht="15" hidden="false" customHeight="false" outlineLevel="0" collapsed="false">
      <c r="A9" s="9" t="s">
        <v>109</v>
      </c>
      <c r="B9" s="13" t="n">
        <f aca="false">'Income Statement'!B13</f>
        <v>55</v>
      </c>
      <c r="C9" s="13" t="n">
        <f aca="false">'Income Statement'!C13</f>
        <v>57</v>
      </c>
      <c r="D9" s="13" t="n">
        <f aca="false">'Income Statement'!D13</f>
        <v>59</v>
      </c>
      <c r="E9" s="12" t="s">
        <v>19</v>
      </c>
    </row>
    <row r="10" customFormat="false" ht="15" hidden="false" customHeight="false" outlineLevel="0" collapsed="false">
      <c r="A10" s="9" t="s">
        <v>102</v>
      </c>
      <c r="B10" s="13" t="n">
        <f aca="false">'Income Statement'!B6</f>
        <v>380</v>
      </c>
      <c r="C10" s="13" t="n">
        <f aca="false">'Income Statement'!C6</f>
        <v>398</v>
      </c>
      <c r="D10" s="13" t="n">
        <f aca="false">'Income Statement'!D6</f>
        <v>415</v>
      </c>
      <c r="E10" s="12" t="s">
        <v>19</v>
      </c>
    </row>
    <row r="11" customFormat="false" ht="15" hidden="false" customHeight="false" outlineLevel="0" collapsed="false">
      <c r="A11" s="9" t="s">
        <v>103</v>
      </c>
      <c r="B11" s="13" t="n">
        <f aca="false">'Income Statement'!B7</f>
        <v>148</v>
      </c>
      <c r="C11" s="13" t="n">
        <f aca="false">'Income Statement'!C7</f>
        <v>157</v>
      </c>
      <c r="D11" s="13" t="n">
        <f aca="false">'Income Statement'!D7</f>
        <v>165</v>
      </c>
      <c r="E11" s="12" t="s">
        <v>19</v>
      </c>
    </row>
    <row r="12" customFormat="false" ht="15" hidden="false" customHeight="false" outlineLevel="0" collapsed="false">
      <c r="A12" s="9" t="s">
        <v>236</v>
      </c>
      <c r="B12" s="13" t="n">
        <f aca="false">'Income Statement'!B19</f>
        <v>183</v>
      </c>
      <c r="C12" s="13" t="n">
        <f aca="false">'Income Statement'!C19</f>
        <v>189</v>
      </c>
      <c r="D12" s="13" t="n">
        <f aca="false">'Income Statement'!D19</f>
        <v>195</v>
      </c>
      <c r="E12" s="12" t="s">
        <v>19</v>
      </c>
    </row>
    <row r="13" customFormat="false" ht="15" hidden="false" customHeight="false" outlineLevel="0" collapsed="false">
      <c r="A13" s="9" t="s">
        <v>17</v>
      </c>
      <c r="B13" s="13" t="n">
        <f aca="false">'Income Statement'!B18</f>
        <v>12</v>
      </c>
      <c r="C13" s="13" t="n">
        <f aca="false">'Income Statement'!C18</f>
        <v>13</v>
      </c>
      <c r="D13" s="13" t="n">
        <f aca="false">'Income Statement'!D18</f>
        <v>14</v>
      </c>
      <c r="E13" s="12" t="s">
        <v>19</v>
      </c>
    </row>
    <row r="14" customFormat="false" ht="15" hidden="false" customHeight="false" outlineLevel="0" collapsed="false">
      <c r="A14" s="9" t="s">
        <v>10</v>
      </c>
      <c r="B14" s="13" t="n">
        <f aca="false">'Balance Sheet'!B14</f>
        <v>9329</v>
      </c>
      <c r="C14" s="13" t="n">
        <f aca="false">'Balance Sheet'!C14</f>
        <v>9557</v>
      </c>
      <c r="D14" s="13" t="n">
        <f aca="false">'Balance Sheet'!D14</f>
        <v>9800</v>
      </c>
      <c r="E14" s="12" t="s">
        <v>11</v>
      </c>
    </row>
    <row r="15" customFormat="false" ht="15" hidden="false" customHeight="false" outlineLevel="0" collapsed="false">
      <c r="A15" s="9" t="s">
        <v>14</v>
      </c>
      <c r="B15" s="13" t="n">
        <f aca="false">'Balance Sheet'!B23</f>
        <v>739</v>
      </c>
      <c r="C15" s="13" t="n">
        <f aca="false">'Balance Sheet'!C23</f>
        <v>767</v>
      </c>
      <c r="D15" s="13" t="n">
        <f aca="false">'Balance Sheet'!D23</f>
        <v>800</v>
      </c>
      <c r="E15" s="12" t="s">
        <v>11</v>
      </c>
    </row>
    <row r="16" customFormat="false" ht="15" hidden="false" customHeight="false" outlineLevel="0" collapsed="false">
      <c r="A16" s="9" t="s">
        <v>12</v>
      </c>
      <c r="B16" s="13" t="n">
        <f aca="false">'Balance Sheet'!B12</f>
        <v>6960</v>
      </c>
      <c r="C16" s="13" t="n">
        <f aca="false">'Balance Sheet'!C12</f>
        <v>7144</v>
      </c>
      <c r="D16" s="13" t="n">
        <f aca="false">'Balance Sheet'!D12</f>
        <v>7330</v>
      </c>
      <c r="E16" s="12" t="s">
        <v>11</v>
      </c>
    </row>
    <row r="17" customFormat="false" ht="15" hidden="false" customHeight="false" outlineLevel="0" collapsed="false">
      <c r="A17" s="9" t="s">
        <v>237</v>
      </c>
      <c r="B17" s="13" t="n">
        <f aca="false">'Balance Sheet'!B38</f>
        <v>8550</v>
      </c>
      <c r="C17" s="13" t="n">
        <f aca="false">'Balance Sheet'!C38</f>
        <v>8762</v>
      </c>
      <c r="D17" s="13" t="n">
        <f aca="false">'Balance Sheet'!D38</f>
        <v>8980</v>
      </c>
      <c r="E17" s="12" t="s">
        <v>11</v>
      </c>
    </row>
    <row r="18" customFormat="false" ht="15" hidden="false" customHeight="false" outlineLevel="0" collapsed="false">
      <c r="A18" s="9" t="s">
        <v>238</v>
      </c>
      <c r="B18" s="13" t="n">
        <f aca="false">'Balance Sheet'!B39</f>
        <v>8350</v>
      </c>
      <c r="C18" s="13" t="n">
        <f aca="false">'Balance Sheet'!C39</f>
        <v>8545</v>
      </c>
      <c r="D18" s="13" t="n">
        <f aca="false">'Balance Sheet'!D39</f>
        <v>8750</v>
      </c>
      <c r="E18" s="12" t="s">
        <v>11</v>
      </c>
    </row>
    <row r="19" customFormat="false" ht="15" hidden="false" customHeight="false" outlineLevel="0" collapsed="false">
      <c r="A19" s="9" t="s">
        <v>13</v>
      </c>
      <c r="B19" s="13" t="n">
        <f aca="false">'Balance Sheet'!B19</f>
        <v>7820</v>
      </c>
      <c r="C19" s="13" t="n">
        <f aca="false">'Balance Sheet'!C19</f>
        <v>8005</v>
      </c>
      <c r="D19" s="13" t="n">
        <f aca="false">'Balance Sheet'!D19</f>
        <v>8200</v>
      </c>
      <c r="E19" s="12" t="s">
        <v>11</v>
      </c>
    </row>
    <row r="20" customFormat="false" ht="15" hidden="false" customHeight="false" outlineLevel="0" collapsed="false">
      <c r="A20" s="9" t="s">
        <v>26</v>
      </c>
      <c r="B20" s="13" t="n">
        <f aca="false">'Capital &amp; Regulatory Ratios'!B15</f>
        <v>4235</v>
      </c>
      <c r="C20" s="13" t="n">
        <f aca="false">'Capital &amp; Regulatory Ratios'!C15</f>
        <v>4340</v>
      </c>
      <c r="D20" s="13" t="n">
        <f aca="false">'Capital &amp; Regulatory Ratios'!D15</f>
        <v>4450</v>
      </c>
      <c r="E20" s="12" t="s">
        <v>28</v>
      </c>
    </row>
    <row r="22" customFormat="false" ht="16.5" hidden="false" customHeight="true" outlineLevel="0" collapsed="false">
      <c r="A22" s="7" t="s">
        <v>239</v>
      </c>
      <c r="B22" s="8"/>
      <c r="C22" s="8"/>
      <c r="D22" s="8"/>
      <c r="E22" s="8"/>
    </row>
    <row r="23" customFormat="false" ht="15" hidden="false" customHeight="false" outlineLevel="0" collapsed="false">
      <c r="A23" s="28" t="s">
        <v>240</v>
      </c>
      <c r="B23" s="48" t="n">
        <f aca="false">B6/B15</f>
        <v>0.0920162381596752</v>
      </c>
      <c r="C23" s="48" t="n">
        <f aca="false">C6/C15</f>
        <v>0.0925684485006519</v>
      </c>
      <c r="D23" s="48" t="n">
        <f aca="false">D6/D15</f>
        <v>0.0925</v>
      </c>
      <c r="E23" s="12" t="s">
        <v>241</v>
      </c>
    </row>
    <row r="24" customFormat="false" ht="15" hidden="false" customHeight="false" outlineLevel="0" collapsed="false">
      <c r="A24" s="28" t="s">
        <v>242</v>
      </c>
      <c r="B24" s="46" t="n">
        <f aca="false">B6/B14</f>
        <v>0.00728909851002251</v>
      </c>
      <c r="C24" s="46" t="n">
        <f aca="false">C6/C14</f>
        <v>0.00742910955320707</v>
      </c>
      <c r="D24" s="46" t="n">
        <f aca="false">D6/D14</f>
        <v>0.00755102040816327</v>
      </c>
      <c r="E24" s="12" t="s">
        <v>243</v>
      </c>
    </row>
    <row r="25" customFormat="false" ht="15" hidden="false" customHeight="false" outlineLevel="0" collapsed="false">
      <c r="A25" s="9" t="s">
        <v>244</v>
      </c>
      <c r="B25" s="35" t="n">
        <f aca="false">B6/B20</f>
        <v>0.0160566706021251</v>
      </c>
      <c r="C25" s="35" t="n">
        <f aca="false">C6/C20</f>
        <v>0.0163594470046083</v>
      </c>
      <c r="D25" s="35" t="n">
        <f aca="false">D6/D20</f>
        <v>0.0166292134831461</v>
      </c>
    </row>
    <row r="27" customFormat="false" ht="16.5" hidden="false" customHeight="true" outlineLevel="0" collapsed="false">
      <c r="A27" s="7" t="s">
        <v>245</v>
      </c>
      <c r="B27" s="8"/>
      <c r="C27" s="8"/>
      <c r="D27" s="8"/>
      <c r="E27" s="8"/>
    </row>
    <row r="28" customFormat="false" ht="15" hidden="false" customHeight="false" outlineLevel="0" collapsed="false">
      <c r="A28" s="9" t="s">
        <v>246</v>
      </c>
      <c r="B28" s="35" t="n">
        <f aca="false">B10/B17</f>
        <v>0.0444444444444444</v>
      </c>
      <c r="C28" s="35" t="n">
        <f aca="false">C10/C17</f>
        <v>0.0454234193106597</v>
      </c>
      <c r="D28" s="35" t="n">
        <f aca="false">D10/D17</f>
        <v>0.0462138084632517</v>
      </c>
    </row>
    <row r="29" customFormat="false" ht="15" hidden="false" customHeight="false" outlineLevel="0" collapsed="false">
      <c r="A29" s="9" t="s">
        <v>247</v>
      </c>
      <c r="B29" s="35" t="n">
        <f aca="false">B11/B18</f>
        <v>0.0177245508982036</v>
      </c>
      <c r="C29" s="35" t="n">
        <f aca="false">C11/C18</f>
        <v>0.0183733177296665</v>
      </c>
      <c r="D29" s="35" t="n">
        <f aca="false">D11/D18</f>
        <v>0.0188571428571429</v>
      </c>
    </row>
    <row r="30" customFormat="false" ht="15" hidden="false" customHeight="false" outlineLevel="0" collapsed="false">
      <c r="A30" s="28" t="s">
        <v>248</v>
      </c>
      <c r="B30" s="46" t="n">
        <f aca="false">B8/B17</f>
        <v>0.0271345029239766</v>
      </c>
      <c r="C30" s="46" t="n">
        <f aca="false">C8/C17</f>
        <v>0.0275051358137412</v>
      </c>
      <c r="D30" s="46" t="n">
        <f aca="false">D8/D17</f>
        <v>0.0278396436525613</v>
      </c>
    </row>
    <row r="32" customFormat="false" ht="16.5" hidden="false" customHeight="true" outlineLevel="0" collapsed="false">
      <c r="A32" s="7" t="s">
        <v>249</v>
      </c>
      <c r="B32" s="8"/>
      <c r="C32" s="8"/>
      <c r="D32" s="8"/>
      <c r="E32" s="8"/>
    </row>
    <row r="33" customFormat="false" ht="15" hidden="false" customHeight="false" outlineLevel="0" collapsed="false">
      <c r="A33" s="28" t="s">
        <v>250</v>
      </c>
      <c r="B33" s="48" t="n">
        <f aca="false">B12/B7</f>
        <v>0.637630662020906</v>
      </c>
      <c r="C33" s="48" t="n">
        <f aca="false">C12/C7</f>
        <v>0.634228187919463</v>
      </c>
      <c r="D33" s="48" t="n">
        <f aca="false">D12/D7</f>
        <v>0.631067961165049</v>
      </c>
    </row>
    <row r="34" customFormat="false" ht="15" hidden="false" customHeight="false" outlineLevel="0" collapsed="false">
      <c r="A34" s="9" t="s">
        <v>126</v>
      </c>
      <c r="B34" s="32" t="n">
        <f aca="false">B9/B7</f>
        <v>0.191637630662021</v>
      </c>
      <c r="C34" s="32" t="n">
        <f aca="false">C9/C7</f>
        <v>0.191275167785235</v>
      </c>
      <c r="D34" s="32" t="n">
        <f aca="false">D9/D7</f>
        <v>0.190938511326861</v>
      </c>
    </row>
    <row r="35" customFormat="false" ht="15" hidden="false" customHeight="false" outlineLevel="0" collapsed="false">
      <c r="A35" s="9" t="s">
        <v>251</v>
      </c>
      <c r="B35" s="35" t="n">
        <f aca="false">B12/B14</f>
        <v>0.0196162504019723</v>
      </c>
      <c r="C35" s="35" t="n">
        <f aca="false">C12/C14</f>
        <v>0.0197760803599456</v>
      </c>
      <c r="D35" s="35" t="n">
        <f aca="false">D12/D14</f>
        <v>0.0198979591836735</v>
      </c>
    </row>
    <row r="37" customFormat="false" ht="16.5" hidden="false" customHeight="true" outlineLevel="0" collapsed="false">
      <c r="A37" s="7" t="s">
        <v>252</v>
      </c>
      <c r="B37" s="8"/>
      <c r="C37" s="8"/>
      <c r="D37" s="8"/>
      <c r="E37" s="8"/>
    </row>
    <row r="38" customFormat="false" ht="15" hidden="false" customHeight="false" outlineLevel="0" collapsed="false">
      <c r="A38" s="9" t="s">
        <v>253</v>
      </c>
      <c r="B38" s="35" t="n">
        <f aca="false">B13/B16</f>
        <v>0.00172413793103448</v>
      </c>
      <c r="C38" s="35" t="n">
        <f aca="false">C13/C16</f>
        <v>0.00181970884658455</v>
      </c>
      <c r="D38" s="35" t="n">
        <f aca="false">D13/D16</f>
        <v>0.00190995907230559</v>
      </c>
    </row>
    <row r="39" customFormat="false" ht="15" hidden="false" customHeight="false" outlineLevel="0" collapsed="false">
      <c r="A39" s="9" t="s">
        <v>254</v>
      </c>
      <c r="B39" s="17" t="n">
        <f aca="false">'Credit Card Portfolio Detail'!B29</f>
        <v>0.013</v>
      </c>
      <c r="C39" s="17" t="n">
        <f aca="false">'Credit Card Portfolio Detail'!C29</f>
        <v>0.0125</v>
      </c>
      <c r="D39" s="17" t="n">
        <f aca="false">'Credit Card Portfolio Detail'!D29</f>
        <v>0.012</v>
      </c>
      <c r="E39" s="12" t="s">
        <v>33</v>
      </c>
    </row>
    <row r="40" customFormat="false" ht="15" hidden="false" customHeight="false" outlineLevel="0" collapsed="false">
      <c r="A40" s="9" t="s">
        <v>255</v>
      </c>
      <c r="B40" s="17" t="n">
        <f aca="false">'Credit Card Portfolio Detail'!B27</f>
        <v>0.0055</v>
      </c>
      <c r="C40" s="17" t="n">
        <f aca="false">'Credit Card Portfolio Detail'!C27</f>
        <v>0.0052</v>
      </c>
      <c r="D40" s="17" t="n">
        <f aca="false">'Credit Card Portfolio Detail'!D27</f>
        <v>0.005</v>
      </c>
      <c r="E40" s="12" t="s">
        <v>33</v>
      </c>
    </row>
    <row r="41" customFormat="false" ht="15" hidden="false" customHeight="false" outlineLevel="0" collapsed="false">
      <c r="A41" s="9" t="s">
        <v>256</v>
      </c>
      <c r="B41" s="17" t="n">
        <f aca="false">'Credit Card Portfolio Detail'!B10</f>
        <v>0.0426829268292683</v>
      </c>
      <c r="C41" s="17" t="n">
        <f aca="false">'Credit Card Portfolio Detail'!C10</f>
        <v>0.0410557184750733</v>
      </c>
      <c r="D41" s="17" t="n">
        <f aca="false">'Credit Card Portfolio Detail'!D10</f>
        <v>0.0422535211267606</v>
      </c>
      <c r="E41" s="12" t="s">
        <v>33</v>
      </c>
    </row>
    <row r="43" customFormat="false" ht="16.5" hidden="false" customHeight="true" outlineLevel="0" collapsed="false">
      <c r="A43" s="7" t="s">
        <v>257</v>
      </c>
      <c r="B43" s="8"/>
      <c r="C43" s="8"/>
      <c r="D43" s="8"/>
      <c r="E43" s="8"/>
    </row>
    <row r="44" customFormat="false" ht="15" hidden="false" customHeight="false" outlineLevel="0" collapsed="false">
      <c r="A44" s="9" t="s">
        <v>94</v>
      </c>
      <c r="B44" s="32" t="n">
        <f aca="false">B16/B19</f>
        <v>0.89002557544757</v>
      </c>
      <c r="C44" s="32" t="n">
        <f aca="false">C16/C19</f>
        <v>0.892442223610244</v>
      </c>
      <c r="D44" s="32" t="n">
        <f aca="false">D16/D19</f>
        <v>0.89390243902439</v>
      </c>
    </row>
    <row r="45" customFormat="false" ht="15" hidden="false" customHeight="false" outlineLevel="0" collapsed="false">
      <c r="A45" s="9" t="s">
        <v>95</v>
      </c>
      <c r="B45" s="32" t="n">
        <f aca="false">B15/B14</f>
        <v>0.0792153499839211</v>
      </c>
      <c r="C45" s="32" t="n">
        <f aca="false">C15/C14</f>
        <v>0.0802553102438004</v>
      </c>
      <c r="D45" s="32" t="n">
        <f aca="false">D15/D14</f>
        <v>0.0816326530612245</v>
      </c>
    </row>
    <row r="46" customFormat="false" ht="15" hidden="false" customHeight="false" outlineLevel="0" collapsed="false">
      <c r="A46" s="9" t="s">
        <v>27</v>
      </c>
      <c r="B46" s="17" t="n">
        <f aca="false">'Capital &amp; Regulatory Ratios'!B24</f>
        <v>0.165997638724911</v>
      </c>
      <c r="C46" s="17" t="n">
        <f aca="false">'Capital &amp; Regulatory Ratios'!C24</f>
        <v>0.167972350230415</v>
      </c>
      <c r="D46" s="17" t="n">
        <f aca="false">'Capital &amp; Regulatory Ratios'!D24</f>
        <v>0.170786516853933</v>
      </c>
      <c r="E46" s="12" t="s">
        <v>28</v>
      </c>
    </row>
    <row r="47" customFormat="false" ht="15" hidden="false" customHeight="false" outlineLevel="0" collapsed="false">
      <c r="A47" s="9" t="s">
        <v>29</v>
      </c>
      <c r="B47" s="17" t="n">
        <f aca="false">'Capital &amp; Regulatory Ratios'!B27</f>
        <v>0.0801800836102476</v>
      </c>
      <c r="C47" s="17" t="n">
        <f aca="false">'Capital &amp; Regulatory Ratios'!C27</f>
        <v>0.0809877576645391</v>
      </c>
      <c r="D47" s="17" t="n">
        <f aca="false">'Capital &amp; Regulatory Ratios'!D27</f>
        <v>0.0821428571428571</v>
      </c>
      <c r="E47" s="12" t="s">
        <v>28</v>
      </c>
    </row>
    <row r="49" customFormat="false" ht="16.5" hidden="false" customHeight="true" outlineLevel="0" collapsed="false">
      <c r="A49" s="7" t="s">
        <v>258</v>
      </c>
      <c r="B49" s="8"/>
      <c r="C49" s="8"/>
      <c r="D49" s="8"/>
      <c r="E49" s="8"/>
    </row>
    <row r="50" customFormat="false" ht="15" hidden="false" customHeight="false" outlineLevel="0" collapsed="false">
      <c r="A50" s="9" t="s">
        <v>259</v>
      </c>
      <c r="B50" s="13" t="n">
        <f aca="false">'Balance Sheet'!B30</f>
        <v>-44</v>
      </c>
      <c r="C50" s="13" t="n">
        <f aca="false">'Balance Sheet'!C30</f>
        <v>-43</v>
      </c>
      <c r="D50" s="13" t="n">
        <f aca="false">'Balance Sheet'!D30</f>
        <v>-41</v>
      </c>
      <c r="E50" s="12" t="s">
        <v>260</v>
      </c>
    </row>
    <row r="51" customFormat="false" ht="15" hidden="false" customHeight="false" outlineLevel="0" collapsed="false">
      <c r="A51" s="9" t="s">
        <v>261</v>
      </c>
      <c r="B51" s="32" t="n">
        <f aca="false">-B50/B6</f>
        <v>0.647058823529412</v>
      </c>
      <c r="C51" s="32" t="n">
        <f aca="false">-C50/C6</f>
        <v>0.605633802816901</v>
      </c>
      <c r="D51" s="32" t="n">
        <f aca="false">-D50/D6</f>
        <v>0.554054054054054</v>
      </c>
    </row>
    <row r="52" customFormat="false" ht="15" hidden="false" customHeight="false" outlineLevel="0" collapsed="false">
      <c r="A52" s="9" t="s">
        <v>262</v>
      </c>
      <c r="B52" s="30" t="n">
        <f aca="false">B15</f>
        <v>739</v>
      </c>
      <c r="C52" s="30" t="n">
        <f aca="false">C15</f>
        <v>767</v>
      </c>
      <c r="D52" s="30" t="n">
        <f aca="false">D15</f>
        <v>800</v>
      </c>
    </row>
    <row r="53" customFormat="false" ht="15" hidden="false" customHeight="false" outlineLevel="0" collapsed="false">
      <c r="A53" s="9" t="s">
        <v>263</v>
      </c>
      <c r="B53" s="49" t="n">
        <v>1.1</v>
      </c>
      <c r="C53" s="49" t="n">
        <v>1.1</v>
      </c>
      <c r="D53" s="49" t="n">
        <v>1.1</v>
      </c>
      <c r="E53" s="12" t="s">
        <v>264</v>
      </c>
    </row>
    <row r="54" customFormat="false" ht="15" hidden="false" customHeight="false" outlineLevel="0" collapsed="false">
      <c r="A54" s="9" t="s">
        <v>265</v>
      </c>
      <c r="B54" s="50" t="n">
        <f aca="false">B52*B53</f>
        <v>812.9</v>
      </c>
      <c r="C54" s="50" t="n">
        <f aca="false">C52*C53</f>
        <v>843.7</v>
      </c>
      <c r="D54" s="50" t="n">
        <f aca="false">D52*D53</f>
        <v>880</v>
      </c>
    </row>
    <row r="56" customFormat="false" ht="24" hidden="false" customHeight="true" outlineLevel="0" collapsed="false">
      <c r="A56" s="24" t="s">
        <v>266</v>
      </c>
      <c r="B56" s="24"/>
      <c r="C56" s="24"/>
      <c r="D56" s="24"/>
      <c r="E56" s="24"/>
    </row>
    <row r="57" customFormat="false" ht="12.75" hidden="false" customHeight="true" outlineLevel="0" collapsed="false">
      <c r="A57" s="24" t="s">
        <v>96</v>
      </c>
      <c r="B57" s="24"/>
      <c r="C57" s="24"/>
      <c r="D57" s="24"/>
      <c r="E57" s="24"/>
    </row>
  </sheetData>
  <mergeCells count="4">
    <mergeCell ref="A1:E1"/>
    <mergeCell ref="A2:E2"/>
    <mergeCell ref="A56:E56"/>
    <mergeCell ref="A57:E57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2026-08-14T00:59:46Z</dcterms:created>
  <dc:creator>openpyxl</dc:creator>
  <dc:description/>
  <dc:language>en-US</dc:language>
  <cp:lastModifiedBy/>
  <dcterms:modified xsi:type="dcterms:W3CDTF">2026-08-14T00:59:46Z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